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IMULADOR" sheetId="2" state="visible" r:id="rId2"/>
    <sheet xmlns:r="http://schemas.openxmlformats.org/officeDocument/2006/relationships" name="CAP_CELULA" sheetId="3" state="visible" r:id="rId3"/>
    <sheet xmlns:r="http://schemas.openxmlformats.org/officeDocument/2006/relationships" name="USINAGEM" sheetId="4" state="visible" r:id="rId4"/>
    <sheet xmlns:r="http://schemas.openxmlformats.org/officeDocument/2006/relationships" name="MAO_OBRA" sheetId="5" state="visible" r:id="rId5"/>
    <sheet xmlns:r="http://schemas.openxmlformats.org/officeDocument/2006/relationships" name="TEMPOS" sheetId="6" state="visible" r:id="rId6"/>
    <sheet xmlns:r="http://schemas.openxmlformats.org/officeDocument/2006/relationships" name="DEMANDA_CARGA" sheetId="7" state="visible" r:id="rId7"/>
    <sheet xmlns:r="http://schemas.openxmlformats.org/officeDocument/2006/relationships" name="COMPARATIVO" sheetId="8" state="visible" r:id="rId8"/>
    <sheet xmlns:r="http://schemas.openxmlformats.org/officeDocument/2006/relationships" name="PLANO" sheetId="9" state="visible" r:id="rId9"/>
    <sheet xmlns:r="http://schemas.openxmlformats.org/officeDocument/2006/relationships" name="BASE" sheetId="10" state="visible" r:id="rId10"/>
    <sheet xmlns:r="http://schemas.openxmlformats.org/officeDocument/2006/relationships" name="PARAMETROS" sheetId="11" state="visible" r:id="rId11"/>
    <sheet xmlns:r="http://schemas.openxmlformats.org/officeDocument/2006/relationships" name="DIAGNOSTICO" sheetId="12" state="visible" r:id="rId12"/>
    <sheet xmlns:r="http://schemas.openxmlformats.org/officeDocument/2006/relationships" name="INSTRUCOES" sheetId="13" state="visible" r:id="rId13"/>
  </sheets>
  <definedNames>
    <definedName name="_xlnm._FilterDatabase" localSheetId="2" hidden="1">'CAP_CELULA'!$A$5:$U$65</definedName>
    <definedName name="_xlnm._FilterDatabase" localSheetId="5" hidden="1">'TEMPOS'!$A$5:$L$205</definedName>
    <definedName name="_xlnm._FilterDatabase" localSheetId="6" hidden="1">'DEMANDA_CARGA'!$A$5:$L$205</definedName>
    <definedName name="_xlnm._FilterDatabase" localSheetId="9" hidden="1">'BASE'!$A$5:$Q$205</definedName>
  </definedNames>
  <calcPr calcId="124519" fullCalcOnLoad="1"/>
</workbook>
</file>

<file path=xl/styles.xml><?xml version="1.0" encoding="utf-8"?>
<styleSheet xmlns="http://schemas.openxmlformats.org/spreadsheetml/2006/main">
  <numFmts count="12">
    <numFmt numFmtId="164" formatCode="hh:mm"/>
    <numFmt numFmtId="165" formatCode="0.0"/>
    <numFmt numFmtId="166" formatCode="0.000"/>
    <numFmt numFmtId="167" formatCode="0;-0;;@"/>
    <numFmt numFmtId="168" formatCode="0.0;-0.0;;@"/>
    <numFmt numFmtId="169" formatCode="0.0%;-0.0%;;@"/>
    <numFmt numFmtId="170" formatCode="0.0;-0.0;0.0"/>
    <numFmt numFmtId="171" formatCode="#,##0;-#,##0;;@"/>
    <numFmt numFmtId="172" formatCode="0.00;-0.00;;@"/>
    <numFmt numFmtId="173" formatCode="#,##0;-#,##0;0"/>
    <numFmt numFmtId="174" formatCode="0.0000"/>
    <numFmt numFmtId="175" formatCode="0.0%"/>
  </numFmts>
  <fonts count="13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7F7F7F"/>
    </font>
    <font>
      <color rgb="000000FF"/>
    </font>
    <font>
      <i val="1"/>
      <color rgb="00C00000"/>
    </font>
    <font>
      <b val="1"/>
      <color rgb="000000FF"/>
    </font>
    <font>
      <b val="1"/>
      <color rgb="00FFFFFF"/>
      <sz val="10"/>
    </font>
    <font>
      <b val="1"/>
    </font>
    <font>
      <b val="1"/>
      <color rgb="001F3864"/>
    </font>
    <font>
      <b val="1"/>
      <color rgb="001F3864"/>
      <sz val="12"/>
    </font>
    <font/>
    <font>
      <b val="1"/>
      <sz val="14"/>
    </font>
    <font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5" fillId="2" borderId="1" pivotButton="0" quotePrefix="0" xfId="0"/>
    <xf numFmtId="0" fontId="3" fillId="2" borderId="1" pivotButton="0" quotePrefix="0" xfId="0"/>
    <xf numFmtId="0" fontId="2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168" fontId="11" fillId="5" borderId="1" applyAlignment="1" pivotButton="0" quotePrefix="0" xfId="0">
      <alignment horizontal="center"/>
    </xf>
    <xf numFmtId="169" fontId="11" fillId="5" borderId="1" applyAlignment="1" pivotButton="0" quotePrefix="0" xfId="0">
      <alignment horizontal="center"/>
    </xf>
    <xf numFmtId="165" fontId="11" fillId="5" borderId="1" applyAlignment="1" pivotButton="0" quotePrefix="0" xfId="0">
      <alignment horizontal="center"/>
    </xf>
    <xf numFmtId="167" fontId="11" fillId="5" borderId="1" applyAlignment="1" pivotButton="0" quotePrefix="0" xfId="0">
      <alignment horizontal="center"/>
    </xf>
    <xf numFmtId="0" fontId="9" fillId="0" borderId="0" pivotButton="0" quotePrefix="0" xfId="0"/>
    <xf numFmtId="0" fontId="0" fillId="3" borderId="1" pivotButton="0" quotePrefix="0" xfId="0"/>
    <xf numFmtId="0" fontId="0" fillId="5" borderId="1" pivotButton="0" quotePrefix="0" xfId="0"/>
    <xf numFmtId="167" fontId="0" fillId="5" borderId="1" pivotButton="0" quotePrefix="0" xfId="0"/>
    <xf numFmtId="168" fontId="0" fillId="5" borderId="1" pivotButton="0" quotePrefix="0" xfId="0"/>
    <xf numFmtId="169" fontId="0" fillId="5" borderId="1" pivotButton="0" quotePrefix="0" xfId="0"/>
    <xf numFmtId="170" fontId="0" fillId="5" borderId="1" pivotButton="0" quotePrefix="0" xfId="0"/>
    <xf numFmtId="1" fontId="0" fillId="3" borderId="1" pivotButton="0" quotePrefix="0" xfId="0"/>
    <xf numFmtId="174" fontId="0" fillId="3" borderId="1" pivotButton="0" quotePrefix="0" xfId="0"/>
    <xf numFmtId="0" fontId="8" fillId="0" borderId="0" pivotButton="0" quotePrefix="0" xfId="0"/>
    <xf numFmtId="1" fontId="3" fillId="2" borderId="1" pivotButton="0" quotePrefix="0" xfId="0"/>
    <xf numFmtId="0" fontId="10" fillId="0" borderId="0" pivotButton="0" quotePrefix="0" xfId="0"/>
    <xf numFmtId="165" fontId="3" fillId="2" borderId="1" pivotButton="0" quotePrefix="0" xfId="0"/>
    <xf numFmtId="9" fontId="3" fillId="2" borderId="1" pivotButton="0" quotePrefix="0" xfId="0"/>
    <xf numFmtId="2" fontId="3" fillId="2" borderId="1" pivotButton="0" quotePrefix="0" xfId="0"/>
    <xf numFmtId="0" fontId="0" fillId="0" borderId="1" pivotButton="0" quotePrefix="0" xfId="0"/>
    <xf numFmtId="173" fontId="0" fillId="5" borderId="1" pivotButton="0" quotePrefix="0" xfId="0"/>
    <xf numFmtId="165" fontId="0" fillId="5" borderId="1" pivotButton="0" quotePrefix="0" xfId="0"/>
    <xf numFmtId="171" fontId="0" fillId="5" borderId="1" pivotButton="0" quotePrefix="0" xfId="0"/>
    <xf numFmtId="172" fontId="0" fillId="5" borderId="1" pivotButton="0" quotePrefix="0" xfId="0"/>
    <xf numFmtId="1" fontId="0" fillId="5" borderId="1" pivotButton="0" quotePrefix="0" xfId="0"/>
    <xf numFmtId="0" fontId="7" fillId="5" borderId="1" pivotButton="0" quotePrefix="0" xfId="0"/>
    <xf numFmtId="1" fontId="7" fillId="5" borderId="1" pivotButton="0" quotePrefix="0" xfId="0"/>
    <xf numFmtId="2" fontId="0" fillId="3" borderId="1" pivotButton="0" quotePrefix="0" xfId="0"/>
    <xf numFmtId="2" fontId="0" fillId="5" borderId="1" pivotButton="0" quotePrefix="0" xfId="0"/>
    <xf numFmtId="175" fontId="0" fillId="5" borderId="1" pivotButton="0" quotePrefix="0" xfId="0"/>
    <xf numFmtId="9" fontId="0" fillId="5" borderId="1" pivotButton="0" quotePrefix="0" xfId="0"/>
    <xf numFmtId="0" fontId="0" fillId="6" borderId="1" pivotButton="0" quotePrefix="0" xfId="0"/>
    <xf numFmtId="3" fontId="0" fillId="5" borderId="1" pivotButton="0" quotePrefix="0" xfId="0"/>
    <xf numFmtId="0" fontId="7" fillId="0" borderId="0" pivotButton="0" quotePrefix="0" xfId="0"/>
    <xf numFmtId="165" fontId="0" fillId="3" borderId="1" pivotButton="0" quotePrefix="0" xfId="0"/>
    <xf numFmtId="1" fontId="3" fillId="3" borderId="1" pivotButton="0" quotePrefix="0" xfId="0"/>
    <xf numFmtId="166" fontId="0" fillId="3" borderId="1" pivotButton="0" quotePrefix="0" xfId="0"/>
    <xf numFmtId="9" fontId="0" fillId="3" borderId="1" pivotButton="0" quotePrefix="0" xfId="0"/>
    <xf numFmtId="0" fontId="4" fillId="0" borderId="0" pivotButton="0" quotePrefix="0" xfId="0"/>
    <xf numFmtId="164" fontId="3" fillId="2" borderId="1" pivotButton="0" quotePrefix="0" xfId="0"/>
    <xf numFmtId="0" fontId="1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bgColor rgb="00FFC7CE"/>
        </patternFill>
      </fill>
    </dxf>
    <dxf>
      <fill>
        <patternFill patternType="solid">
          <bgColor rgb="00FFEB9C"/>
        </patternFill>
      </fill>
    </dxf>
    <dxf>
      <fill>
        <patternFill patternType="solid"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Carga × capacidade por célula (h)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'DASHBOARD'!$B$13:$B$27</f>
            </numRef>
          </cat>
          <val>
            <numRef>
              <f>'DASHBOARD'!$E$13:$E$27</f>
            </numRef>
          </val>
        </ser>
        <ser>
          <idx val="1"/>
          <order val="1"/>
          <tx>
            <strRef>
              <f>'DASHBOARD'!F12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'DASHBOARD'!$B$13:$B$27</f>
            </numRef>
          </cat>
          <val>
            <numRef>
              <f>'DASHBOARD'!$F$13:$F$27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Utilização das máquinas de usinagem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'DASHBOARD'!G30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'DASHBOARD'!$B$31:$B$36</f>
            </numRef>
          </cat>
          <val>
            <numRef>
              <f>'DASHBOARD'!$G$31:$G$36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Capacidade por família (h)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'DASHBOARD'!E39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'DASHBOARD'!$B$40:$B$43</f>
            </numRef>
          </cat>
          <val>
            <numRef>
              <f>'DASHBOARD'!$E$40:$E$43</f>
            </numRef>
          </val>
        </ser>
        <ser>
          <idx val="1"/>
          <order val="1"/>
          <tx>
            <strRef>
              <f>'DASHBOARD'!F39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'DASHBOARD'!$B$40:$B$43</f>
            </numRef>
          </cat>
          <val>
            <numRef>
              <f>'DASHBOARD'!$F$40:$F$43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Distribuição de mão de obra (funcionários por célula)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'DASHBOARD'!D12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'DASHBOARD'!$B$13:$B$27</f>
            </numRef>
          </cat>
          <val>
            <numRef>
              <f>'DASHBOARD'!$D$13:$D$27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Gargalos — ranking de utilização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'DASHBOARD'!G45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'DASHBOARD'!$B$46:$B$50</f>
            </numRef>
          </cat>
          <val>
            <numRef>
              <f>'DASHBOARD'!$G$46:$G$50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Comparação dos cenários — utilização geral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'COMPARATIVO'!B8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'COMPARATIVO'!$C$8:$B$8</f>
            </numRef>
          </val>
        </ser>
        <ser>
          <idx val="1"/>
          <order val="1"/>
          <tx>
            <strRef>
              <f>'COMPARATIVO'!C8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'COMPARATIVO'!$D$8:$C$8</f>
            </numRef>
          </val>
        </ser>
        <ser>
          <idx val="2"/>
          <order val="2"/>
          <tx>
            <strRef>
              <f>'COMPARATIVO'!D8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'COMPARATIVO'!$E$8:$D$8</f>
            </numRef>
          </val>
        </ser>
        <ser>
          <idx val="3"/>
          <order val="3"/>
          <tx>
            <strRef>
              <f>'COMPARATIVO'!E8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'COMPARATIVO'!$F$8:$E$8</f>
            </numRef>
          </val>
        </ser>
        <ser>
          <idx val="4"/>
          <order val="4"/>
          <tx>
            <strRef>
              <f>'COMPARATIVO'!F8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'COMPARATIVO'!$G$8:$F$8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Demanda × capacidade mensal (pç)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'COMPARATIVO'!B19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'COMPARATIVO'!$C$19:$B$19</f>
            </numRef>
          </val>
        </ser>
        <ser>
          <idx val="1"/>
          <order val="1"/>
          <tx>
            <strRef>
              <f>'COMPARATIVO'!C19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'COMPARATIVO'!$D$19:$C$19</f>
            </numRef>
          </val>
        </ser>
        <ser>
          <idx val="2"/>
          <order val="2"/>
          <tx>
            <strRef>
              <f>'COMPARATIVO'!D19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'COMPARATIVO'!$E$19:$D$19</f>
            </numRef>
          </val>
        </ser>
        <ser>
          <idx val="3"/>
          <order val="3"/>
          <tx>
            <strRef>
              <f>'COMPARATIVO'!E19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'COMPARATIVO'!$F$19:$E$19</f>
            </numRef>
          </val>
        </ser>
        <ser>
          <idx val="4"/>
          <order val="4"/>
          <tx>
            <strRef>
              <f>'COMPARATIVO'!F19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'COMPARATIVO'!$G$19:$F$19</f>
            </numRef>
          </val>
        </ser>
        <ser>
          <idx val="5"/>
          <order val="5"/>
          <tx>
            <strRef>
              <f>'COMPARATIVO'!B20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'COMPARATIVO'!$C$20:$B$20</f>
            </numRef>
          </val>
        </ser>
        <ser>
          <idx val="6"/>
          <order val="6"/>
          <tx>
            <strRef>
              <f>'COMPARATIVO'!C20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'COMPARATIVO'!$D$20:$C$20</f>
            </numRef>
          </val>
        </ser>
        <ser>
          <idx val="7"/>
          <order val="7"/>
          <tx>
            <strRef>
              <f>'COMPARATIVO'!D20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'COMPARATIVO'!$E$20:$D$20</f>
            </numRef>
          </val>
        </ser>
        <ser>
          <idx val="8"/>
          <order val="8"/>
          <tx>
            <strRef>
              <f>'COMPARATIVO'!E20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'COMPARATIVO'!$F$20:$E$20</f>
            </numRef>
          </val>
        </ser>
        <ser>
          <idx val="9"/>
          <order val="9"/>
          <tx>
            <strRef>
              <f>'COMPARATIVO'!F20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'COMPARATIVO'!$G$20:$F$20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Utilização geral por cenário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'COMPARATIVO'!B8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'COMPARATIVO'!$C$8:$B$8</f>
            </numRef>
          </val>
        </ser>
        <ser>
          <idx val="1"/>
          <order val="1"/>
          <tx>
            <strRef>
              <f>'COMPARATIVO'!C8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'COMPARATIVO'!$D$8:$C$8</f>
            </numRef>
          </val>
        </ser>
        <ser>
          <idx val="2"/>
          <order val="2"/>
          <tx>
            <strRef>
              <f>'COMPARATIVO'!D8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'COMPARATIVO'!$E$8:$D$8</f>
            </numRef>
          </val>
        </ser>
        <ser>
          <idx val="3"/>
          <order val="3"/>
          <tx>
            <strRef>
              <f>'COMPARATIVO'!E8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'COMPARATIVO'!$F$8:$E$8</f>
            </numRef>
          </val>
        </ser>
        <ser>
          <idx val="4"/>
          <order val="4"/>
          <tx>
            <strRef>
              <f>'COMPARATIVO'!F8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'COMPARATIVO'!$G$8:$F$8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Carga × capacidade (h)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'COMPARATIVO'!B6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'COMPARATIVO'!$C$6:$B$6</f>
            </numRef>
          </val>
        </ser>
        <ser>
          <idx val="1"/>
          <order val="1"/>
          <tx>
            <strRef>
              <f>'COMPARATIVO'!C6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'COMPARATIVO'!$D$6:$C$6</f>
            </numRef>
          </val>
        </ser>
        <ser>
          <idx val="2"/>
          <order val="2"/>
          <tx>
            <strRef>
              <f>'COMPARATIVO'!D6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'COMPARATIVO'!$E$6:$D$6</f>
            </numRef>
          </val>
        </ser>
        <ser>
          <idx val="3"/>
          <order val="3"/>
          <tx>
            <strRef>
              <f>'COMPARATIVO'!E6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'COMPARATIVO'!$F$6:$E$6</f>
            </numRef>
          </val>
        </ser>
        <ser>
          <idx val="4"/>
          <order val="4"/>
          <tx>
            <strRef>
              <f>'COMPARATIVO'!F6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'COMPARATIVO'!$G$6:$F$6</f>
            </numRef>
          </val>
        </ser>
        <ser>
          <idx val="5"/>
          <order val="5"/>
          <tx>
            <strRef>
              <f>'COMPARATIVO'!B7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'COMPARATIVO'!$C$7:$B$7</f>
            </numRef>
          </val>
        </ser>
        <ser>
          <idx val="6"/>
          <order val="6"/>
          <tx>
            <strRef>
              <f>'COMPARATIVO'!C7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'COMPARATIVO'!$D$7:$C$7</f>
            </numRef>
          </val>
        </ser>
        <ser>
          <idx val="7"/>
          <order val="7"/>
          <tx>
            <strRef>
              <f>'COMPARATIVO'!D7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'COMPARATIVO'!$E$7:$D$7</f>
            </numRef>
          </val>
        </ser>
        <ser>
          <idx val="8"/>
          <order val="8"/>
          <tx>
            <strRef>
              <f>'COMPARATIVO'!E7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'COMPARATIVO'!$F$7:$E$7</f>
            </numRef>
          </val>
        </ser>
        <ser>
          <idx val="9"/>
          <order val="9"/>
          <tx>
            <strRef>
              <f>'COMPARATIVO'!F7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'COMPARATIVO'!$G$7:$F$7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Demanda × capacidade mensal (pç)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'COMPARATIVO'!B19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'COMPARATIVO'!$C$19:$B$19</f>
            </numRef>
          </val>
        </ser>
        <ser>
          <idx val="1"/>
          <order val="1"/>
          <tx>
            <strRef>
              <f>'COMPARATIVO'!C19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'COMPARATIVO'!$D$19:$C$19</f>
            </numRef>
          </val>
        </ser>
        <ser>
          <idx val="2"/>
          <order val="2"/>
          <tx>
            <strRef>
              <f>'COMPARATIVO'!D19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'COMPARATIVO'!$E$19:$D$19</f>
            </numRef>
          </val>
        </ser>
        <ser>
          <idx val="3"/>
          <order val="3"/>
          <tx>
            <strRef>
              <f>'COMPARATIVO'!E19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'COMPARATIVO'!$F$19:$E$19</f>
            </numRef>
          </val>
        </ser>
        <ser>
          <idx val="4"/>
          <order val="4"/>
          <tx>
            <strRef>
              <f>'COMPARATIVO'!F19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'COMPARATIVO'!$G$19:$F$19</f>
            </numRef>
          </val>
        </ser>
        <ser>
          <idx val="5"/>
          <order val="5"/>
          <tx>
            <strRef>
              <f>'COMPARATIVO'!B20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'COMPARATIVO'!$C$20:$B$20</f>
            </numRef>
          </val>
        </ser>
        <ser>
          <idx val="6"/>
          <order val="6"/>
          <tx>
            <strRef>
              <f>'COMPARATIVO'!C20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'COMPARATIVO'!$D$20:$C$20</f>
            </numRef>
          </val>
        </ser>
        <ser>
          <idx val="7"/>
          <order val="7"/>
          <tx>
            <strRef>
              <f>'COMPARATIVO'!D20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'COMPARATIVO'!$E$20:$D$20</f>
            </numRef>
          </val>
        </ser>
        <ser>
          <idx val="8"/>
          <order val="8"/>
          <tx>
            <strRef>
              <f>'COMPARATIVO'!E20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'COMPARATIVO'!$F$20:$E$20</f>
            </numRef>
          </val>
        </ser>
        <ser>
          <idx val="9"/>
          <order val="9"/>
          <tx>
            <strRef>
              <f>'COMPARATIVO'!F20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'COMPARATIVO'!$C$4:$F$4</f>
            </numRef>
          </cat>
          <val>
            <numRef>
              <f>'COMPARATIVO'!$G$20:$F$20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/Relationships>
</file>

<file path=xl/drawings/_rels/drawing2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/Relationships>
</file>

<file path=xl/drawings/drawing1.xml><?xml version="1.0" encoding="utf-8"?>
<wsDr xmlns="http://schemas.openxmlformats.org/drawingml/2006/spreadsheetDrawing">
  <oneCellAnchor>
    <from>
      <col>14</col>
      <colOff>0</colOff>
      <row>2</row>
      <rowOff>0</rowOff>
    </from>
    <ext cx="64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18</row>
      <rowOff>0</rowOff>
    </from>
    <ext cx="648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14</col>
      <colOff>0</colOff>
      <row>34</row>
      <rowOff>0</rowOff>
    </from>
    <ext cx="648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14</col>
      <colOff>0</colOff>
      <row>50</row>
      <rowOff>0</rowOff>
    </from>
    <ext cx="648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23</col>
      <colOff>0</colOff>
      <row>2</row>
      <rowOff>0</rowOff>
    </from>
    <ext cx="576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23</col>
      <colOff>0</colOff>
      <row>18</row>
      <rowOff>0</rowOff>
    </from>
    <ext cx="5760000" cy="27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23</col>
      <colOff>0</colOff>
      <row>34</row>
      <rowOff>0</rowOff>
    </from>
    <ext cx="5760000" cy="27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2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18</row>
      <rowOff>0</rowOff>
    </from>
    <ext cx="576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34</row>
      <rowOff>0</rowOff>
    </from>
    <ext cx="576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M5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12" customWidth="1" min="4" max="4"/>
    <col width="15" customWidth="1" min="5" max="5"/>
    <col width="14" customWidth="1" min="6" max="6"/>
    <col width="13" customWidth="1" min="7" max="7"/>
    <col width="14" customWidth="1" min="8" max="8"/>
    <col width="16" customWidth="1" min="9" max="9"/>
    <col width="16" customWidth="1" min="10" max="10"/>
    <col width="11" customWidth="1" min="11" max="11"/>
    <col width="12" customWidth="1" min="12" max="12"/>
    <col width="10" customWidth="1" min="13" max="13"/>
    <col width="3" customWidth="1" min="14" max="14"/>
  </cols>
  <sheetData>
    <row r="1">
      <c r="A1" s="1" t="inlineStr">
        <is>
          <t>DASHBOARD — CAPACIDADE PRODUTIVA | CALDEIRARIA E USINAGEM</t>
        </is>
      </c>
    </row>
    <row r="3">
      <c r="B3" t="inlineStr">
        <is>
          <t>Cenário:</t>
        </is>
      </c>
      <c r="C3" s="2" t="inlineStr">
        <is>
          <t>Atual</t>
        </is>
      </c>
      <c r="E3" s="3" t="n"/>
      <c r="F3" s="4" t="inlineStr">
        <is>
          <t>Verde = suficiente | Amarelo = atenção | Vermelho = insuficiente (limites em PARAMETROS C6:C7)</t>
        </is>
      </c>
    </row>
    <row r="4">
      <c r="B4" t="inlineStr">
        <is>
          <t>Filtro família:</t>
        </is>
      </c>
      <c r="C4" s="2" t="inlineStr">
        <is>
          <t>TODAS</t>
        </is>
      </c>
    </row>
    <row r="7" ht="40" customHeight="1">
      <c r="A7" s="5" t="inlineStr"/>
      <c r="B7" s="5" t="inlineStr">
        <is>
          <t>Capacidade disponível (h)</t>
        </is>
      </c>
      <c r="C7" s="5" t="inlineStr">
        <is>
          <t>Carga planejada (h)</t>
        </is>
      </c>
      <c r="D7" s="5" t="inlineStr">
        <is>
          <t>Utilização</t>
        </is>
      </c>
      <c r="E7" s="5" t="inlineStr">
        <is>
          <t>Horas excedentes (h)</t>
        </is>
      </c>
      <c r="F7" s="5" t="inlineStr">
        <is>
          <t>Horas ociosas (h)</t>
        </is>
      </c>
      <c r="G7" s="5" t="inlineStr">
        <is>
          <t>Func. necessários</t>
        </is>
      </c>
      <c r="H7" s="5" t="inlineStr">
        <is>
          <t>Func. disponíveis</t>
        </is>
      </c>
      <c r="I7" s="5" t="inlineStr">
        <is>
          <t>Horas extras necessárias (h)</t>
        </is>
      </c>
      <c r="J7" s="5" t="inlineStr">
        <is>
          <t>Sogyodo</t>
        </is>
      </c>
    </row>
    <row r="8" ht="28" customHeight="1">
      <c r="B8" s="6">
        <f>SUMPRODUCT($J$13:$J$27,$E$13:$E$27)</f>
        <v/>
      </c>
      <c r="C8" s="6">
        <f>SUMPRODUCT($J$13:$J$27,$F$13:$F$27)</f>
        <v/>
      </c>
      <c r="D8" s="7">
        <f>IF(B8&gt;0,C8/B8,0)</f>
        <v/>
      </c>
      <c r="E8" s="6">
        <f>SUMPRODUCT($J$13:$J$27*($H$13:$H$27&lt;0)*(-$H$13:$H$27))</f>
        <v/>
      </c>
      <c r="F8" s="6">
        <f>SUMPRODUCT($J$13:$J$27*($H$13:$H$27&gt;0)*$H$13:$H$27)</f>
        <v/>
      </c>
      <c r="G8" s="8">
        <f>H8+SUMPRODUCT($J$13:$J$27,$K$13:$K$27)</f>
        <v/>
      </c>
      <c r="H8" s="9">
        <f>SUMPRODUCT($J$13:$J$27,$D$13:$D$27)</f>
        <v/>
      </c>
      <c r="I8" s="6">
        <f>E8</f>
        <v/>
      </c>
      <c r="J8" s="7">
        <f>IF(PARAMETROS!$C$8="Nominal",IF(SUMPRODUCT($J$13:$J$27,$L$13:$L$27)&gt;0,C8/SUMPRODUCT($J$13:$J$27,$L$13:$L$27),0),D8)</f>
        <v/>
      </c>
    </row>
    <row r="9" ht="40" customHeight="1">
      <c r="A9" s="5" t="inlineStr"/>
      <c r="B9" s="5" t="inlineStr">
        <is>
          <t>USINAGEM — capacidade (h)</t>
        </is>
      </c>
      <c r="C9" s="5" t="inlineStr">
        <is>
          <t>USINAGEM — carga (h)</t>
        </is>
      </c>
      <c r="D9" s="5" t="inlineStr">
        <is>
          <t>USINAGEM — utilização</t>
        </is>
      </c>
      <c r="E9" s="5" t="inlineStr">
        <is>
          <t>USINAGEM — horas excedentes (h)</t>
        </is>
      </c>
      <c r="F9" s="5" t="inlineStr">
        <is>
          <t>USINAGEM — horas ociosas (h)</t>
        </is>
      </c>
      <c r="G9" s="5" t="inlineStr">
        <is>
          <t>USINAGEM — máquinas insuficientes</t>
        </is>
      </c>
      <c r="H9" s="5" t="inlineStr">
        <is>
          <t>USINAGEM — máquinas em atenção</t>
        </is>
      </c>
      <c r="I9" s="5" t="inlineStr">
        <is>
          <t>USINAGEM — horas extras necessárias (h)</t>
        </is>
      </c>
      <c r="J9" s="5" t="inlineStr">
        <is>
          <t>USINAGEM — Sogyodo</t>
        </is>
      </c>
    </row>
    <row r="10" ht="28" customHeight="1">
      <c r="B10" s="6">
        <f>SUM($E$31:$E$36)</f>
        <v/>
      </c>
      <c r="C10" s="6">
        <f>SUM($F$31:$F$36)</f>
        <v/>
      </c>
      <c r="D10" s="7">
        <f>IF(B10&gt;0,C10/B10,0)</f>
        <v/>
      </c>
      <c r="E10" s="6">
        <f>SUMPRODUCT(($H$31:$H$36&lt;0)*(-$H$31:$H$36))</f>
        <v/>
      </c>
      <c r="F10" s="6">
        <f>SUMPRODUCT(($H$31:$H$36&gt;0)*$H$31:$H$36)</f>
        <v/>
      </c>
      <c r="G10" s="9">
        <f>COUNTIF($I$31:$I$36,"INSUFICIENTE")</f>
        <v/>
      </c>
      <c r="H10" s="9">
        <f>COUNTIF($I$31:$I$36,"ATENÇÃO")</f>
        <v/>
      </c>
      <c r="I10" s="6">
        <f>E10</f>
        <v/>
      </c>
      <c r="J10" s="7">
        <f>IF(PARAMETROS!$C$8="Nominal",D10*INDEX(PARAMETROS!$C$23:$F$23,PARAMETROS!$C$9)*INDEX(PARAMETROS!$C$24:$F$24,PARAMETROS!$C$9),D10)</f>
        <v/>
      </c>
    </row>
    <row r="11">
      <c r="A11" s="10" t="inlineStr">
        <is>
          <t>CARGA × CAPACIDADE POR CÉLULA</t>
        </is>
      </c>
    </row>
    <row r="12" ht="32" customHeight="1">
      <c r="A12" s="5" t="inlineStr">
        <is>
          <t>#</t>
        </is>
      </c>
      <c r="B12" s="5" t="inlineStr">
        <is>
          <t>Célula</t>
        </is>
      </c>
      <c r="C12" s="5" t="inlineStr">
        <is>
          <t>Família</t>
        </is>
      </c>
      <c r="D12" s="5" t="inlineStr">
        <is>
          <t>Func.</t>
        </is>
      </c>
      <c r="E12" s="5" t="inlineStr">
        <is>
          <t>Capacidade (h)</t>
        </is>
      </c>
      <c r="F12" s="5" t="inlineStr">
        <is>
          <t>Carga (h)</t>
        </is>
      </c>
      <c r="G12" s="5" t="inlineStr">
        <is>
          <t>Utilização</t>
        </is>
      </c>
      <c r="H12" s="5" t="inlineStr">
        <is>
          <t>Saldo (h)</t>
        </is>
      </c>
      <c r="I12" s="5" t="inlineStr">
        <is>
          <t>Status</t>
        </is>
      </c>
      <c r="J12" s="5" t="inlineStr">
        <is>
          <t>Filtro</t>
        </is>
      </c>
      <c r="K12" s="5" t="inlineStr">
        <is>
          <t>Func. adic.</t>
        </is>
      </c>
      <c r="L12" s="5" t="inlineStr">
        <is>
          <t>Cap. nominal (h)</t>
        </is>
      </c>
      <c r="M12" s="5" t="inlineStr">
        <is>
          <t>Chave</t>
        </is>
      </c>
    </row>
    <row r="13">
      <c r="A13" s="11" t="n">
        <v>1</v>
      </c>
      <c r="B13" s="12">
        <f>INDEX(CAP_CELULA!$C$6:$C$65,(PARAMETROS!$C$9-1)*15+1)</f>
        <v/>
      </c>
      <c r="C13" s="12">
        <f>INDEX(CAP_CELULA!$D$6:$D$65,(PARAMETROS!$C$9-1)*15+1)</f>
        <v/>
      </c>
      <c r="D13" s="13">
        <f>INDEX(CAP_CELULA!$E$6:$E$65,(PARAMETROS!$C$9-1)*15+1)</f>
        <v/>
      </c>
      <c r="E13" s="14">
        <f>INDEX(CAP_CELULA!$G$6:$G$65,(PARAMETROS!$C$9-1)*15+1)</f>
        <v/>
      </c>
      <c r="F13" s="14">
        <f>INDEX(CAP_CELULA!$I$6:$I$65,(PARAMETROS!$C$9-1)*15+1)</f>
        <v/>
      </c>
      <c r="G13" s="15">
        <f>INDEX(CAP_CELULA!$J$6:$J$65,(PARAMETROS!$C$9-1)*15+1)</f>
        <v/>
      </c>
      <c r="H13" s="16">
        <f>INDEX(CAP_CELULA!$K$6:$K$65,(PARAMETROS!$C$9-1)*15+1)</f>
        <v/>
      </c>
      <c r="I13" s="12">
        <f>INDEX(CAP_CELULA!$Q$6:$Q$65,(PARAMETROS!$C$9-1)*15+1)</f>
        <v/>
      </c>
      <c r="J13" s="17">
        <f>IF(B13="",0,IF(OR($C$4="TODAS",C13=$C$4),1,0))</f>
        <v/>
      </c>
      <c r="K13" s="14">
        <f>INDEX(CAP_CELULA!$O$6:$O$65,(PARAMETROS!$C$9-1)*15+1)</f>
        <v/>
      </c>
      <c r="L13" s="14">
        <f>INDEX(CAP_CELULA!$F$6:$F$65,(PARAMETROS!$C$9-1)*15+1)</f>
        <v/>
      </c>
      <c r="M13" s="18">
        <f>J13*G13+1/10000000</f>
        <v/>
      </c>
    </row>
    <row r="14">
      <c r="A14" s="11" t="n">
        <v>2</v>
      </c>
      <c r="B14" s="12">
        <f>INDEX(CAP_CELULA!$C$6:$C$65,(PARAMETROS!$C$9-1)*15+2)</f>
        <v/>
      </c>
      <c r="C14" s="12">
        <f>INDEX(CAP_CELULA!$D$6:$D$65,(PARAMETROS!$C$9-1)*15+2)</f>
        <v/>
      </c>
      <c r="D14" s="13">
        <f>INDEX(CAP_CELULA!$E$6:$E$65,(PARAMETROS!$C$9-1)*15+2)</f>
        <v/>
      </c>
      <c r="E14" s="14">
        <f>INDEX(CAP_CELULA!$G$6:$G$65,(PARAMETROS!$C$9-1)*15+2)</f>
        <v/>
      </c>
      <c r="F14" s="14">
        <f>INDEX(CAP_CELULA!$I$6:$I$65,(PARAMETROS!$C$9-1)*15+2)</f>
        <v/>
      </c>
      <c r="G14" s="15">
        <f>INDEX(CAP_CELULA!$J$6:$J$65,(PARAMETROS!$C$9-1)*15+2)</f>
        <v/>
      </c>
      <c r="H14" s="16">
        <f>INDEX(CAP_CELULA!$K$6:$K$65,(PARAMETROS!$C$9-1)*15+2)</f>
        <v/>
      </c>
      <c r="I14" s="12">
        <f>INDEX(CAP_CELULA!$Q$6:$Q$65,(PARAMETROS!$C$9-1)*15+2)</f>
        <v/>
      </c>
      <c r="J14" s="17">
        <f>IF(B14="",0,IF(OR($C$4="TODAS",C14=$C$4),1,0))</f>
        <v/>
      </c>
      <c r="K14" s="14">
        <f>INDEX(CAP_CELULA!$O$6:$O$65,(PARAMETROS!$C$9-1)*15+2)</f>
        <v/>
      </c>
      <c r="L14" s="14">
        <f>INDEX(CAP_CELULA!$F$6:$F$65,(PARAMETROS!$C$9-1)*15+2)</f>
        <v/>
      </c>
      <c r="M14" s="18">
        <f>J14*G14+2/10000000</f>
        <v/>
      </c>
    </row>
    <row r="15">
      <c r="A15" s="11" t="n">
        <v>3</v>
      </c>
      <c r="B15" s="12">
        <f>INDEX(CAP_CELULA!$C$6:$C$65,(PARAMETROS!$C$9-1)*15+3)</f>
        <v/>
      </c>
      <c r="C15" s="12">
        <f>INDEX(CAP_CELULA!$D$6:$D$65,(PARAMETROS!$C$9-1)*15+3)</f>
        <v/>
      </c>
      <c r="D15" s="13">
        <f>INDEX(CAP_CELULA!$E$6:$E$65,(PARAMETROS!$C$9-1)*15+3)</f>
        <v/>
      </c>
      <c r="E15" s="14">
        <f>INDEX(CAP_CELULA!$G$6:$G$65,(PARAMETROS!$C$9-1)*15+3)</f>
        <v/>
      </c>
      <c r="F15" s="14">
        <f>INDEX(CAP_CELULA!$I$6:$I$65,(PARAMETROS!$C$9-1)*15+3)</f>
        <v/>
      </c>
      <c r="G15" s="15">
        <f>INDEX(CAP_CELULA!$J$6:$J$65,(PARAMETROS!$C$9-1)*15+3)</f>
        <v/>
      </c>
      <c r="H15" s="16">
        <f>INDEX(CAP_CELULA!$K$6:$K$65,(PARAMETROS!$C$9-1)*15+3)</f>
        <v/>
      </c>
      <c r="I15" s="12">
        <f>INDEX(CAP_CELULA!$Q$6:$Q$65,(PARAMETROS!$C$9-1)*15+3)</f>
        <v/>
      </c>
      <c r="J15" s="17">
        <f>IF(B15="",0,IF(OR($C$4="TODAS",C15=$C$4),1,0))</f>
        <v/>
      </c>
      <c r="K15" s="14">
        <f>INDEX(CAP_CELULA!$O$6:$O$65,(PARAMETROS!$C$9-1)*15+3)</f>
        <v/>
      </c>
      <c r="L15" s="14">
        <f>INDEX(CAP_CELULA!$F$6:$F$65,(PARAMETROS!$C$9-1)*15+3)</f>
        <v/>
      </c>
      <c r="M15" s="18">
        <f>J15*G15+3/10000000</f>
        <v/>
      </c>
    </row>
    <row r="16">
      <c r="A16" s="11" t="n">
        <v>4</v>
      </c>
      <c r="B16" s="12">
        <f>INDEX(CAP_CELULA!$C$6:$C$65,(PARAMETROS!$C$9-1)*15+4)</f>
        <v/>
      </c>
      <c r="C16" s="12">
        <f>INDEX(CAP_CELULA!$D$6:$D$65,(PARAMETROS!$C$9-1)*15+4)</f>
        <v/>
      </c>
      <c r="D16" s="13">
        <f>INDEX(CAP_CELULA!$E$6:$E$65,(PARAMETROS!$C$9-1)*15+4)</f>
        <v/>
      </c>
      <c r="E16" s="14">
        <f>INDEX(CAP_CELULA!$G$6:$G$65,(PARAMETROS!$C$9-1)*15+4)</f>
        <v/>
      </c>
      <c r="F16" s="14">
        <f>INDEX(CAP_CELULA!$I$6:$I$65,(PARAMETROS!$C$9-1)*15+4)</f>
        <v/>
      </c>
      <c r="G16" s="15">
        <f>INDEX(CAP_CELULA!$J$6:$J$65,(PARAMETROS!$C$9-1)*15+4)</f>
        <v/>
      </c>
      <c r="H16" s="16">
        <f>INDEX(CAP_CELULA!$K$6:$K$65,(PARAMETROS!$C$9-1)*15+4)</f>
        <v/>
      </c>
      <c r="I16" s="12">
        <f>INDEX(CAP_CELULA!$Q$6:$Q$65,(PARAMETROS!$C$9-1)*15+4)</f>
        <v/>
      </c>
      <c r="J16" s="17">
        <f>IF(B16="",0,IF(OR($C$4="TODAS",C16=$C$4),1,0))</f>
        <v/>
      </c>
      <c r="K16" s="14">
        <f>INDEX(CAP_CELULA!$O$6:$O$65,(PARAMETROS!$C$9-1)*15+4)</f>
        <v/>
      </c>
      <c r="L16" s="14">
        <f>INDEX(CAP_CELULA!$F$6:$F$65,(PARAMETROS!$C$9-1)*15+4)</f>
        <v/>
      </c>
      <c r="M16" s="18">
        <f>J16*G16+4/10000000</f>
        <v/>
      </c>
    </row>
    <row r="17">
      <c r="A17" s="11" t="n">
        <v>5</v>
      </c>
      <c r="B17" s="12">
        <f>INDEX(CAP_CELULA!$C$6:$C$65,(PARAMETROS!$C$9-1)*15+5)</f>
        <v/>
      </c>
      <c r="C17" s="12">
        <f>INDEX(CAP_CELULA!$D$6:$D$65,(PARAMETROS!$C$9-1)*15+5)</f>
        <v/>
      </c>
      <c r="D17" s="13">
        <f>INDEX(CAP_CELULA!$E$6:$E$65,(PARAMETROS!$C$9-1)*15+5)</f>
        <v/>
      </c>
      <c r="E17" s="14">
        <f>INDEX(CAP_CELULA!$G$6:$G$65,(PARAMETROS!$C$9-1)*15+5)</f>
        <v/>
      </c>
      <c r="F17" s="14">
        <f>INDEX(CAP_CELULA!$I$6:$I$65,(PARAMETROS!$C$9-1)*15+5)</f>
        <v/>
      </c>
      <c r="G17" s="15">
        <f>INDEX(CAP_CELULA!$J$6:$J$65,(PARAMETROS!$C$9-1)*15+5)</f>
        <v/>
      </c>
      <c r="H17" s="16">
        <f>INDEX(CAP_CELULA!$K$6:$K$65,(PARAMETROS!$C$9-1)*15+5)</f>
        <v/>
      </c>
      <c r="I17" s="12">
        <f>INDEX(CAP_CELULA!$Q$6:$Q$65,(PARAMETROS!$C$9-1)*15+5)</f>
        <v/>
      </c>
      <c r="J17" s="17">
        <f>IF(B17="",0,IF(OR($C$4="TODAS",C17=$C$4),1,0))</f>
        <v/>
      </c>
      <c r="K17" s="14">
        <f>INDEX(CAP_CELULA!$O$6:$O$65,(PARAMETROS!$C$9-1)*15+5)</f>
        <v/>
      </c>
      <c r="L17" s="14">
        <f>INDEX(CAP_CELULA!$F$6:$F$65,(PARAMETROS!$C$9-1)*15+5)</f>
        <v/>
      </c>
      <c r="M17" s="18">
        <f>J17*G17+5/10000000</f>
        <v/>
      </c>
    </row>
    <row r="18">
      <c r="A18" s="11" t="n">
        <v>6</v>
      </c>
      <c r="B18" s="12">
        <f>INDEX(CAP_CELULA!$C$6:$C$65,(PARAMETROS!$C$9-1)*15+6)</f>
        <v/>
      </c>
      <c r="C18" s="12">
        <f>INDEX(CAP_CELULA!$D$6:$D$65,(PARAMETROS!$C$9-1)*15+6)</f>
        <v/>
      </c>
      <c r="D18" s="13">
        <f>INDEX(CAP_CELULA!$E$6:$E$65,(PARAMETROS!$C$9-1)*15+6)</f>
        <v/>
      </c>
      <c r="E18" s="14">
        <f>INDEX(CAP_CELULA!$G$6:$G$65,(PARAMETROS!$C$9-1)*15+6)</f>
        <v/>
      </c>
      <c r="F18" s="14">
        <f>INDEX(CAP_CELULA!$I$6:$I$65,(PARAMETROS!$C$9-1)*15+6)</f>
        <v/>
      </c>
      <c r="G18" s="15">
        <f>INDEX(CAP_CELULA!$J$6:$J$65,(PARAMETROS!$C$9-1)*15+6)</f>
        <v/>
      </c>
      <c r="H18" s="16">
        <f>INDEX(CAP_CELULA!$K$6:$K$65,(PARAMETROS!$C$9-1)*15+6)</f>
        <v/>
      </c>
      <c r="I18" s="12">
        <f>INDEX(CAP_CELULA!$Q$6:$Q$65,(PARAMETROS!$C$9-1)*15+6)</f>
        <v/>
      </c>
      <c r="J18" s="17">
        <f>IF(B18="",0,IF(OR($C$4="TODAS",C18=$C$4),1,0))</f>
        <v/>
      </c>
      <c r="K18" s="14">
        <f>INDEX(CAP_CELULA!$O$6:$O$65,(PARAMETROS!$C$9-1)*15+6)</f>
        <v/>
      </c>
      <c r="L18" s="14">
        <f>INDEX(CAP_CELULA!$F$6:$F$65,(PARAMETROS!$C$9-1)*15+6)</f>
        <v/>
      </c>
      <c r="M18" s="18">
        <f>J18*G18+6/10000000</f>
        <v/>
      </c>
    </row>
    <row r="19">
      <c r="A19" s="11" t="n">
        <v>7</v>
      </c>
      <c r="B19" s="12">
        <f>INDEX(CAP_CELULA!$C$6:$C$65,(PARAMETROS!$C$9-1)*15+7)</f>
        <v/>
      </c>
      <c r="C19" s="12">
        <f>INDEX(CAP_CELULA!$D$6:$D$65,(PARAMETROS!$C$9-1)*15+7)</f>
        <v/>
      </c>
      <c r="D19" s="13">
        <f>INDEX(CAP_CELULA!$E$6:$E$65,(PARAMETROS!$C$9-1)*15+7)</f>
        <v/>
      </c>
      <c r="E19" s="14">
        <f>INDEX(CAP_CELULA!$G$6:$G$65,(PARAMETROS!$C$9-1)*15+7)</f>
        <v/>
      </c>
      <c r="F19" s="14">
        <f>INDEX(CAP_CELULA!$I$6:$I$65,(PARAMETROS!$C$9-1)*15+7)</f>
        <v/>
      </c>
      <c r="G19" s="15">
        <f>INDEX(CAP_CELULA!$J$6:$J$65,(PARAMETROS!$C$9-1)*15+7)</f>
        <v/>
      </c>
      <c r="H19" s="16">
        <f>INDEX(CAP_CELULA!$K$6:$K$65,(PARAMETROS!$C$9-1)*15+7)</f>
        <v/>
      </c>
      <c r="I19" s="12">
        <f>INDEX(CAP_CELULA!$Q$6:$Q$65,(PARAMETROS!$C$9-1)*15+7)</f>
        <v/>
      </c>
      <c r="J19" s="17">
        <f>IF(B19="",0,IF(OR($C$4="TODAS",C19=$C$4),1,0))</f>
        <v/>
      </c>
      <c r="K19" s="14">
        <f>INDEX(CAP_CELULA!$O$6:$O$65,(PARAMETROS!$C$9-1)*15+7)</f>
        <v/>
      </c>
      <c r="L19" s="14">
        <f>INDEX(CAP_CELULA!$F$6:$F$65,(PARAMETROS!$C$9-1)*15+7)</f>
        <v/>
      </c>
      <c r="M19" s="18">
        <f>J19*G19+7/10000000</f>
        <v/>
      </c>
    </row>
    <row r="20">
      <c r="A20" s="11" t="n">
        <v>8</v>
      </c>
      <c r="B20" s="12">
        <f>INDEX(CAP_CELULA!$C$6:$C$65,(PARAMETROS!$C$9-1)*15+8)</f>
        <v/>
      </c>
      <c r="C20" s="12">
        <f>INDEX(CAP_CELULA!$D$6:$D$65,(PARAMETROS!$C$9-1)*15+8)</f>
        <v/>
      </c>
      <c r="D20" s="13">
        <f>INDEX(CAP_CELULA!$E$6:$E$65,(PARAMETROS!$C$9-1)*15+8)</f>
        <v/>
      </c>
      <c r="E20" s="14">
        <f>INDEX(CAP_CELULA!$G$6:$G$65,(PARAMETROS!$C$9-1)*15+8)</f>
        <v/>
      </c>
      <c r="F20" s="14">
        <f>INDEX(CAP_CELULA!$I$6:$I$65,(PARAMETROS!$C$9-1)*15+8)</f>
        <v/>
      </c>
      <c r="G20" s="15">
        <f>INDEX(CAP_CELULA!$J$6:$J$65,(PARAMETROS!$C$9-1)*15+8)</f>
        <v/>
      </c>
      <c r="H20" s="16">
        <f>INDEX(CAP_CELULA!$K$6:$K$65,(PARAMETROS!$C$9-1)*15+8)</f>
        <v/>
      </c>
      <c r="I20" s="12">
        <f>INDEX(CAP_CELULA!$Q$6:$Q$65,(PARAMETROS!$C$9-1)*15+8)</f>
        <v/>
      </c>
      <c r="J20" s="17">
        <f>IF(B20="",0,IF(OR($C$4="TODAS",C20=$C$4),1,0))</f>
        <v/>
      </c>
      <c r="K20" s="14">
        <f>INDEX(CAP_CELULA!$O$6:$O$65,(PARAMETROS!$C$9-1)*15+8)</f>
        <v/>
      </c>
      <c r="L20" s="14">
        <f>INDEX(CAP_CELULA!$F$6:$F$65,(PARAMETROS!$C$9-1)*15+8)</f>
        <v/>
      </c>
      <c r="M20" s="18">
        <f>J20*G20+8/10000000</f>
        <v/>
      </c>
    </row>
    <row r="21">
      <c r="A21" s="11" t="n">
        <v>9</v>
      </c>
      <c r="B21" s="12">
        <f>INDEX(CAP_CELULA!$C$6:$C$65,(PARAMETROS!$C$9-1)*15+9)</f>
        <v/>
      </c>
      <c r="C21" s="12">
        <f>INDEX(CAP_CELULA!$D$6:$D$65,(PARAMETROS!$C$9-1)*15+9)</f>
        <v/>
      </c>
      <c r="D21" s="13">
        <f>INDEX(CAP_CELULA!$E$6:$E$65,(PARAMETROS!$C$9-1)*15+9)</f>
        <v/>
      </c>
      <c r="E21" s="14">
        <f>INDEX(CAP_CELULA!$G$6:$G$65,(PARAMETROS!$C$9-1)*15+9)</f>
        <v/>
      </c>
      <c r="F21" s="14">
        <f>INDEX(CAP_CELULA!$I$6:$I$65,(PARAMETROS!$C$9-1)*15+9)</f>
        <v/>
      </c>
      <c r="G21" s="15">
        <f>INDEX(CAP_CELULA!$J$6:$J$65,(PARAMETROS!$C$9-1)*15+9)</f>
        <v/>
      </c>
      <c r="H21" s="16">
        <f>INDEX(CAP_CELULA!$K$6:$K$65,(PARAMETROS!$C$9-1)*15+9)</f>
        <v/>
      </c>
      <c r="I21" s="12">
        <f>INDEX(CAP_CELULA!$Q$6:$Q$65,(PARAMETROS!$C$9-1)*15+9)</f>
        <v/>
      </c>
      <c r="J21" s="17">
        <f>IF(B21="",0,IF(OR($C$4="TODAS",C21=$C$4),1,0))</f>
        <v/>
      </c>
      <c r="K21" s="14">
        <f>INDEX(CAP_CELULA!$O$6:$O$65,(PARAMETROS!$C$9-1)*15+9)</f>
        <v/>
      </c>
      <c r="L21" s="14">
        <f>INDEX(CAP_CELULA!$F$6:$F$65,(PARAMETROS!$C$9-1)*15+9)</f>
        <v/>
      </c>
      <c r="M21" s="18">
        <f>J21*G21+9/10000000</f>
        <v/>
      </c>
    </row>
    <row r="22">
      <c r="A22" s="11" t="n">
        <v>10</v>
      </c>
      <c r="B22" s="12">
        <f>INDEX(CAP_CELULA!$C$6:$C$65,(PARAMETROS!$C$9-1)*15+10)</f>
        <v/>
      </c>
      <c r="C22" s="12">
        <f>INDEX(CAP_CELULA!$D$6:$D$65,(PARAMETROS!$C$9-1)*15+10)</f>
        <v/>
      </c>
      <c r="D22" s="13">
        <f>INDEX(CAP_CELULA!$E$6:$E$65,(PARAMETROS!$C$9-1)*15+10)</f>
        <v/>
      </c>
      <c r="E22" s="14">
        <f>INDEX(CAP_CELULA!$G$6:$G$65,(PARAMETROS!$C$9-1)*15+10)</f>
        <v/>
      </c>
      <c r="F22" s="14">
        <f>INDEX(CAP_CELULA!$I$6:$I$65,(PARAMETROS!$C$9-1)*15+10)</f>
        <v/>
      </c>
      <c r="G22" s="15">
        <f>INDEX(CAP_CELULA!$J$6:$J$65,(PARAMETROS!$C$9-1)*15+10)</f>
        <v/>
      </c>
      <c r="H22" s="16">
        <f>INDEX(CAP_CELULA!$K$6:$K$65,(PARAMETROS!$C$9-1)*15+10)</f>
        <v/>
      </c>
      <c r="I22" s="12">
        <f>INDEX(CAP_CELULA!$Q$6:$Q$65,(PARAMETROS!$C$9-1)*15+10)</f>
        <v/>
      </c>
      <c r="J22" s="17">
        <f>IF(B22="",0,IF(OR($C$4="TODAS",C22=$C$4),1,0))</f>
        <v/>
      </c>
      <c r="K22" s="14">
        <f>INDEX(CAP_CELULA!$O$6:$O$65,(PARAMETROS!$C$9-1)*15+10)</f>
        <v/>
      </c>
      <c r="L22" s="14">
        <f>INDEX(CAP_CELULA!$F$6:$F$65,(PARAMETROS!$C$9-1)*15+10)</f>
        <v/>
      </c>
      <c r="M22" s="18">
        <f>J22*G22+10/10000000</f>
        <v/>
      </c>
    </row>
    <row r="23">
      <c r="A23" s="11" t="n">
        <v>11</v>
      </c>
      <c r="B23" s="12">
        <f>INDEX(CAP_CELULA!$C$6:$C$65,(PARAMETROS!$C$9-1)*15+11)</f>
        <v/>
      </c>
      <c r="C23" s="12">
        <f>INDEX(CAP_CELULA!$D$6:$D$65,(PARAMETROS!$C$9-1)*15+11)</f>
        <v/>
      </c>
      <c r="D23" s="13">
        <f>INDEX(CAP_CELULA!$E$6:$E$65,(PARAMETROS!$C$9-1)*15+11)</f>
        <v/>
      </c>
      <c r="E23" s="14">
        <f>INDEX(CAP_CELULA!$G$6:$G$65,(PARAMETROS!$C$9-1)*15+11)</f>
        <v/>
      </c>
      <c r="F23" s="14">
        <f>INDEX(CAP_CELULA!$I$6:$I$65,(PARAMETROS!$C$9-1)*15+11)</f>
        <v/>
      </c>
      <c r="G23" s="15">
        <f>INDEX(CAP_CELULA!$J$6:$J$65,(PARAMETROS!$C$9-1)*15+11)</f>
        <v/>
      </c>
      <c r="H23" s="16">
        <f>INDEX(CAP_CELULA!$K$6:$K$65,(PARAMETROS!$C$9-1)*15+11)</f>
        <v/>
      </c>
      <c r="I23" s="12">
        <f>INDEX(CAP_CELULA!$Q$6:$Q$65,(PARAMETROS!$C$9-1)*15+11)</f>
        <v/>
      </c>
      <c r="J23" s="17">
        <f>IF(B23="",0,IF(OR($C$4="TODAS",C23=$C$4),1,0))</f>
        <v/>
      </c>
      <c r="K23" s="14">
        <f>INDEX(CAP_CELULA!$O$6:$O$65,(PARAMETROS!$C$9-1)*15+11)</f>
        <v/>
      </c>
      <c r="L23" s="14">
        <f>INDEX(CAP_CELULA!$F$6:$F$65,(PARAMETROS!$C$9-1)*15+11)</f>
        <v/>
      </c>
      <c r="M23" s="18">
        <f>J23*G23+11/10000000</f>
        <v/>
      </c>
    </row>
    <row r="24">
      <c r="A24" s="11" t="n">
        <v>12</v>
      </c>
      <c r="B24" s="12">
        <f>INDEX(CAP_CELULA!$C$6:$C$65,(PARAMETROS!$C$9-1)*15+12)</f>
        <v/>
      </c>
      <c r="C24" s="12">
        <f>INDEX(CAP_CELULA!$D$6:$D$65,(PARAMETROS!$C$9-1)*15+12)</f>
        <v/>
      </c>
      <c r="D24" s="13">
        <f>INDEX(CAP_CELULA!$E$6:$E$65,(PARAMETROS!$C$9-1)*15+12)</f>
        <v/>
      </c>
      <c r="E24" s="14">
        <f>INDEX(CAP_CELULA!$G$6:$G$65,(PARAMETROS!$C$9-1)*15+12)</f>
        <v/>
      </c>
      <c r="F24" s="14">
        <f>INDEX(CAP_CELULA!$I$6:$I$65,(PARAMETROS!$C$9-1)*15+12)</f>
        <v/>
      </c>
      <c r="G24" s="15">
        <f>INDEX(CAP_CELULA!$J$6:$J$65,(PARAMETROS!$C$9-1)*15+12)</f>
        <v/>
      </c>
      <c r="H24" s="16">
        <f>INDEX(CAP_CELULA!$K$6:$K$65,(PARAMETROS!$C$9-1)*15+12)</f>
        <v/>
      </c>
      <c r="I24" s="12">
        <f>INDEX(CAP_CELULA!$Q$6:$Q$65,(PARAMETROS!$C$9-1)*15+12)</f>
        <v/>
      </c>
      <c r="J24" s="17">
        <f>IF(B24="",0,IF(OR($C$4="TODAS",C24=$C$4),1,0))</f>
        <v/>
      </c>
      <c r="K24" s="14">
        <f>INDEX(CAP_CELULA!$O$6:$O$65,(PARAMETROS!$C$9-1)*15+12)</f>
        <v/>
      </c>
      <c r="L24" s="14">
        <f>INDEX(CAP_CELULA!$F$6:$F$65,(PARAMETROS!$C$9-1)*15+12)</f>
        <v/>
      </c>
      <c r="M24" s="18">
        <f>J24*G24+12/10000000</f>
        <v/>
      </c>
    </row>
    <row r="25">
      <c r="A25" s="11" t="n">
        <v>13</v>
      </c>
      <c r="B25" s="12">
        <f>INDEX(CAP_CELULA!$C$6:$C$65,(PARAMETROS!$C$9-1)*15+13)</f>
        <v/>
      </c>
      <c r="C25" s="12">
        <f>INDEX(CAP_CELULA!$D$6:$D$65,(PARAMETROS!$C$9-1)*15+13)</f>
        <v/>
      </c>
      <c r="D25" s="13">
        <f>INDEX(CAP_CELULA!$E$6:$E$65,(PARAMETROS!$C$9-1)*15+13)</f>
        <v/>
      </c>
      <c r="E25" s="14">
        <f>INDEX(CAP_CELULA!$G$6:$G$65,(PARAMETROS!$C$9-1)*15+13)</f>
        <v/>
      </c>
      <c r="F25" s="14">
        <f>INDEX(CAP_CELULA!$I$6:$I$65,(PARAMETROS!$C$9-1)*15+13)</f>
        <v/>
      </c>
      <c r="G25" s="15">
        <f>INDEX(CAP_CELULA!$J$6:$J$65,(PARAMETROS!$C$9-1)*15+13)</f>
        <v/>
      </c>
      <c r="H25" s="16">
        <f>INDEX(CAP_CELULA!$K$6:$K$65,(PARAMETROS!$C$9-1)*15+13)</f>
        <v/>
      </c>
      <c r="I25" s="12">
        <f>INDEX(CAP_CELULA!$Q$6:$Q$65,(PARAMETROS!$C$9-1)*15+13)</f>
        <v/>
      </c>
      <c r="J25" s="17">
        <f>IF(B25="",0,IF(OR($C$4="TODAS",C25=$C$4),1,0))</f>
        <v/>
      </c>
      <c r="K25" s="14">
        <f>INDEX(CAP_CELULA!$O$6:$O$65,(PARAMETROS!$C$9-1)*15+13)</f>
        <v/>
      </c>
      <c r="L25" s="14">
        <f>INDEX(CAP_CELULA!$F$6:$F$65,(PARAMETROS!$C$9-1)*15+13)</f>
        <v/>
      </c>
      <c r="M25" s="18">
        <f>J25*G25+13/10000000</f>
        <v/>
      </c>
    </row>
    <row r="26">
      <c r="A26" s="11" t="n">
        <v>14</v>
      </c>
      <c r="B26" s="12">
        <f>INDEX(CAP_CELULA!$C$6:$C$65,(PARAMETROS!$C$9-1)*15+14)</f>
        <v/>
      </c>
      <c r="C26" s="12">
        <f>INDEX(CAP_CELULA!$D$6:$D$65,(PARAMETROS!$C$9-1)*15+14)</f>
        <v/>
      </c>
      <c r="D26" s="13">
        <f>INDEX(CAP_CELULA!$E$6:$E$65,(PARAMETROS!$C$9-1)*15+14)</f>
        <v/>
      </c>
      <c r="E26" s="14">
        <f>INDEX(CAP_CELULA!$G$6:$G$65,(PARAMETROS!$C$9-1)*15+14)</f>
        <v/>
      </c>
      <c r="F26" s="14">
        <f>INDEX(CAP_CELULA!$I$6:$I$65,(PARAMETROS!$C$9-1)*15+14)</f>
        <v/>
      </c>
      <c r="G26" s="15">
        <f>INDEX(CAP_CELULA!$J$6:$J$65,(PARAMETROS!$C$9-1)*15+14)</f>
        <v/>
      </c>
      <c r="H26" s="16">
        <f>INDEX(CAP_CELULA!$K$6:$K$65,(PARAMETROS!$C$9-1)*15+14)</f>
        <v/>
      </c>
      <c r="I26" s="12">
        <f>INDEX(CAP_CELULA!$Q$6:$Q$65,(PARAMETROS!$C$9-1)*15+14)</f>
        <v/>
      </c>
      <c r="J26" s="17">
        <f>IF(B26="",0,IF(OR($C$4="TODAS",C26=$C$4),1,0))</f>
        <v/>
      </c>
      <c r="K26" s="14">
        <f>INDEX(CAP_CELULA!$O$6:$O$65,(PARAMETROS!$C$9-1)*15+14)</f>
        <v/>
      </c>
      <c r="L26" s="14">
        <f>INDEX(CAP_CELULA!$F$6:$F$65,(PARAMETROS!$C$9-1)*15+14)</f>
        <v/>
      </c>
      <c r="M26" s="18">
        <f>J26*G26+14/10000000</f>
        <v/>
      </c>
    </row>
    <row r="27">
      <c r="A27" s="11" t="n">
        <v>15</v>
      </c>
      <c r="B27" s="12">
        <f>INDEX(CAP_CELULA!$C$6:$C$65,(PARAMETROS!$C$9-1)*15+15)</f>
        <v/>
      </c>
      <c r="C27" s="12">
        <f>INDEX(CAP_CELULA!$D$6:$D$65,(PARAMETROS!$C$9-1)*15+15)</f>
        <v/>
      </c>
      <c r="D27" s="13">
        <f>INDEX(CAP_CELULA!$E$6:$E$65,(PARAMETROS!$C$9-1)*15+15)</f>
        <v/>
      </c>
      <c r="E27" s="14">
        <f>INDEX(CAP_CELULA!$G$6:$G$65,(PARAMETROS!$C$9-1)*15+15)</f>
        <v/>
      </c>
      <c r="F27" s="14">
        <f>INDEX(CAP_CELULA!$I$6:$I$65,(PARAMETROS!$C$9-1)*15+15)</f>
        <v/>
      </c>
      <c r="G27" s="15">
        <f>INDEX(CAP_CELULA!$J$6:$J$65,(PARAMETROS!$C$9-1)*15+15)</f>
        <v/>
      </c>
      <c r="H27" s="16">
        <f>INDEX(CAP_CELULA!$K$6:$K$65,(PARAMETROS!$C$9-1)*15+15)</f>
        <v/>
      </c>
      <c r="I27" s="12">
        <f>INDEX(CAP_CELULA!$Q$6:$Q$65,(PARAMETROS!$C$9-1)*15+15)</f>
        <v/>
      </c>
      <c r="J27" s="17">
        <f>IF(B27="",0,IF(OR($C$4="TODAS",C27=$C$4),1,0))</f>
        <v/>
      </c>
      <c r="K27" s="14">
        <f>INDEX(CAP_CELULA!$O$6:$O$65,(PARAMETROS!$C$9-1)*15+15)</f>
        <v/>
      </c>
      <c r="L27" s="14">
        <f>INDEX(CAP_CELULA!$F$6:$F$65,(PARAMETROS!$C$9-1)*15+15)</f>
        <v/>
      </c>
      <c r="M27" s="18">
        <f>J27*G27+15/10000000</f>
        <v/>
      </c>
    </row>
    <row r="29">
      <c r="A29" s="10" t="inlineStr">
        <is>
          <t>UTILIZAÇÃO DAS MÁQUINAS DE USINAGEM</t>
        </is>
      </c>
    </row>
    <row r="30" ht="32" customHeight="1">
      <c r="A30" s="5" t="inlineStr">
        <is>
          <t>#</t>
        </is>
      </c>
      <c r="B30" s="5" t="inlineStr">
        <is>
          <t>Máquina</t>
        </is>
      </c>
      <c r="C30" s="5" t="inlineStr"/>
      <c r="D30" s="5" t="inlineStr">
        <is>
          <t>Turnos</t>
        </is>
      </c>
      <c r="E30" s="5" t="inlineStr">
        <is>
          <t>Capacidade (h)</t>
        </is>
      </c>
      <c r="F30" s="5" t="inlineStr">
        <is>
          <t>Carga (h)</t>
        </is>
      </c>
      <c r="G30" s="5" t="inlineStr">
        <is>
          <t>Utilização</t>
        </is>
      </c>
      <c r="H30" s="5" t="inlineStr">
        <is>
          <t>Saldo (h)</t>
        </is>
      </c>
      <c r="I30" s="5" t="inlineStr">
        <is>
          <t>Status</t>
        </is>
      </c>
    </row>
    <row r="31">
      <c r="A31" s="11" t="n">
        <v>1</v>
      </c>
      <c r="B31" s="12">
        <f>INDEX(USINAGEM!$C$6:$C$29,(PARAMETROS!$C$9-1)*6+1)</f>
        <v/>
      </c>
      <c r="D31" s="13">
        <f>INDEX(USINAGEM!$D$6:$D$29,(PARAMETROS!$C$9-1)*6+1)</f>
        <v/>
      </c>
      <c r="E31" s="14">
        <f>INDEX(USINAGEM!$F$6:$F$29,(PARAMETROS!$C$9-1)*6+1)</f>
        <v/>
      </c>
      <c r="F31" s="14">
        <f>INDEX(USINAGEM!$H$6:$H$29,(PARAMETROS!$C$9-1)*6+1)</f>
        <v/>
      </c>
      <c r="G31" s="15">
        <f>INDEX(USINAGEM!$I$6:$I$29,(PARAMETROS!$C$9-1)*6+1)</f>
        <v/>
      </c>
      <c r="H31" s="16">
        <f>INDEX(USINAGEM!$J$6:$J$29,(PARAMETROS!$C$9-1)*6+1)</f>
        <v/>
      </c>
      <c r="I31" s="12">
        <f>INDEX(USINAGEM!$N$6:$N$29,(PARAMETROS!$C$9-1)*6+1)</f>
        <v/>
      </c>
    </row>
    <row r="32">
      <c r="A32" s="11" t="n">
        <v>2</v>
      </c>
      <c r="B32" s="12">
        <f>INDEX(USINAGEM!$C$6:$C$29,(PARAMETROS!$C$9-1)*6+2)</f>
        <v/>
      </c>
      <c r="D32" s="13">
        <f>INDEX(USINAGEM!$D$6:$D$29,(PARAMETROS!$C$9-1)*6+2)</f>
        <v/>
      </c>
      <c r="E32" s="14">
        <f>INDEX(USINAGEM!$F$6:$F$29,(PARAMETROS!$C$9-1)*6+2)</f>
        <v/>
      </c>
      <c r="F32" s="14">
        <f>INDEX(USINAGEM!$H$6:$H$29,(PARAMETROS!$C$9-1)*6+2)</f>
        <v/>
      </c>
      <c r="G32" s="15">
        <f>INDEX(USINAGEM!$I$6:$I$29,(PARAMETROS!$C$9-1)*6+2)</f>
        <v/>
      </c>
      <c r="H32" s="16">
        <f>INDEX(USINAGEM!$J$6:$J$29,(PARAMETROS!$C$9-1)*6+2)</f>
        <v/>
      </c>
      <c r="I32" s="12">
        <f>INDEX(USINAGEM!$N$6:$N$29,(PARAMETROS!$C$9-1)*6+2)</f>
        <v/>
      </c>
    </row>
    <row r="33">
      <c r="A33" s="11" t="n">
        <v>3</v>
      </c>
      <c r="B33" s="12">
        <f>INDEX(USINAGEM!$C$6:$C$29,(PARAMETROS!$C$9-1)*6+3)</f>
        <v/>
      </c>
      <c r="D33" s="13">
        <f>INDEX(USINAGEM!$D$6:$D$29,(PARAMETROS!$C$9-1)*6+3)</f>
        <v/>
      </c>
      <c r="E33" s="14">
        <f>INDEX(USINAGEM!$F$6:$F$29,(PARAMETROS!$C$9-1)*6+3)</f>
        <v/>
      </c>
      <c r="F33" s="14">
        <f>INDEX(USINAGEM!$H$6:$H$29,(PARAMETROS!$C$9-1)*6+3)</f>
        <v/>
      </c>
      <c r="G33" s="15">
        <f>INDEX(USINAGEM!$I$6:$I$29,(PARAMETROS!$C$9-1)*6+3)</f>
        <v/>
      </c>
      <c r="H33" s="16">
        <f>INDEX(USINAGEM!$J$6:$J$29,(PARAMETROS!$C$9-1)*6+3)</f>
        <v/>
      </c>
      <c r="I33" s="12">
        <f>INDEX(USINAGEM!$N$6:$N$29,(PARAMETROS!$C$9-1)*6+3)</f>
        <v/>
      </c>
    </row>
    <row r="34">
      <c r="A34" s="11" t="n">
        <v>4</v>
      </c>
      <c r="B34" s="12">
        <f>INDEX(USINAGEM!$C$6:$C$29,(PARAMETROS!$C$9-1)*6+4)</f>
        <v/>
      </c>
      <c r="D34" s="13">
        <f>INDEX(USINAGEM!$D$6:$D$29,(PARAMETROS!$C$9-1)*6+4)</f>
        <v/>
      </c>
      <c r="E34" s="14">
        <f>INDEX(USINAGEM!$F$6:$F$29,(PARAMETROS!$C$9-1)*6+4)</f>
        <v/>
      </c>
      <c r="F34" s="14">
        <f>INDEX(USINAGEM!$H$6:$H$29,(PARAMETROS!$C$9-1)*6+4)</f>
        <v/>
      </c>
      <c r="G34" s="15">
        <f>INDEX(USINAGEM!$I$6:$I$29,(PARAMETROS!$C$9-1)*6+4)</f>
        <v/>
      </c>
      <c r="H34" s="16">
        <f>INDEX(USINAGEM!$J$6:$J$29,(PARAMETROS!$C$9-1)*6+4)</f>
        <v/>
      </c>
      <c r="I34" s="12">
        <f>INDEX(USINAGEM!$N$6:$N$29,(PARAMETROS!$C$9-1)*6+4)</f>
        <v/>
      </c>
    </row>
    <row r="35">
      <c r="A35" s="11" t="n">
        <v>5</v>
      </c>
      <c r="B35" s="12">
        <f>INDEX(USINAGEM!$C$6:$C$29,(PARAMETROS!$C$9-1)*6+5)</f>
        <v/>
      </c>
      <c r="D35" s="13">
        <f>INDEX(USINAGEM!$D$6:$D$29,(PARAMETROS!$C$9-1)*6+5)</f>
        <v/>
      </c>
      <c r="E35" s="14">
        <f>INDEX(USINAGEM!$F$6:$F$29,(PARAMETROS!$C$9-1)*6+5)</f>
        <v/>
      </c>
      <c r="F35" s="14">
        <f>INDEX(USINAGEM!$H$6:$H$29,(PARAMETROS!$C$9-1)*6+5)</f>
        <v/>
      </c>
      <c r="G35" s="15">
        <f>INDEX(USINAGEM!$I$6:$I$29,(PARAMETROS!$C$9-1)*6+5)</f>
        <v/>
      </c>
      <c r="H35" s="16">
        <f>INDEX(USINAGEM!$J$6:$J$29,(PARAMETROS!$C$9-1)*6+5)</f>
        <v/>
      </c>
      <c r="I35" s="12">
        <f>INDEX(USINAGEM!$N$6:$N$29,(PARAMETROS!$C$9-1)*6+5)</f>
        <v/>
      </c>
    </row>
    <row r="36">
      <c r="A36" s="11" t="n">
        <v>6</v>
      </c>
      <c r="B36" s="12">
        <f>INDEX(USINAGEM!$C$6:$C$29,(PARAMETROS!$C$9-1)*6+6)</f>
        <v/>
      </c>
      <c r="D36" s="13">
        <f>INDEX(USINAGEM!$D$6:$D$29,(PARAMETROS!$C$9-1)*6+6)</f>
        <v/>
      </c>
      <c r="E36" s="14">
        <f>INDEX(USINAGEM!$F$6:$F$29,(PARAMETROS!$C$9-1)*6+6)</f>
        <v/>
      </c>
      <c r="F36" s="14">
        <f>INDEX(USINAGEM!$H$6:$H$29,(PARAMETROS!$C$9-1)*6+6)</f>
        <v/>
      </c>
      <c r="G36" s="15">
        <f>INDEX(USINAGEM!$I$6:$I$29,(PARAMETROS!$C$9-1)*6+6)</f>
        <v/>
      </c>
      <c r="H36" s="16">
        <f>INDEX(USINAGEM!$J$6:$J$29,(PARAMETROS!$C$9-1)*6+6)</f>
        <v/>
      </c>
      <c r="I36" s="12">
        <f>INDEX(USINAGEM!$N$6:$N$29,(PARAMETROS!$C$9-1)*6+6)</f>
        <v/>
      </c>
    </row>
    <row r="38">
      <c r="A38" s="10" t="inlineStr">
        <is>
          <t>CAPACIDADE POR FAMÍLIA</t>
        </is>
      </c>
    </row>
    <row r="39" ht="32" customHeight="1">
      <c r="A39" s="5" t="inlineStr">
        <is>
          <t>#</t>
        </is>
      </c>
      <c r="B39" s="5" t="inlineStr">
        <is>
          <t>Família</t>
        </is>
      </c>
      <c r="C39" s="5" t="inlineStr"/>
      <c r="D39" s="5" t="inlineStr"/>
      <c r="E39" s="5" t="inlineStr">
        <is>
          <t>Capacidade (h)</t>
        </is>
      </c>
      <c r="F39" s="5" t="inlineStr">
        <is>
          <t>Carga (h)</t>
        </is>
      </c>
      <c r="G39" s="5" t="inlineStr">
        <is>
          <t>Utilização</t>
        </is>
      </c>
    </row>
    <row r="40">
      <c r="A40" s="11" t="n">
        <v>1</v>
      </c>
      <c r="B40" s="11">
        <f>PARAMETROS!B40</f>
        <v/>
      </c>
      <c r="E40" s="14">
        <f>SUMPRODUCT(($C$13:$C$27=B40)*$E$13:$E$27)</f>
        <v/>
      </c>
      <c r="F40" s="14">
        <f>SUMPRODUCT(($C$13:$C$27=B40)*$F$13:$F$27)</f>
        <v/>
      </c>
      <c r="G40" s="15">
        <f>IF(E40&gt;0,F40/E40,0)</f>
        <v/>
      </c>
    </row>
    <row r="41">
      <c r="A41" s="11" t="n">
        <v>2</v>
      </c>
      <c r="B41" s="11">
        <f>PARAMETROS!B41</f>
        <v/>
      </c>
      <c r="E41" s="14">
        <f>SUMPRODUCT(($C$13:$C$27=B41)*$E$13:$E$27)</f>
        <v/>
      </c>
      <c r="F41" s="14">
        <f>SUMPRODUCT(($C$13:$C$27=B41)*$F$13:$F$27)</f>
        <v/>
      </c>
      <c r="G41" s="15">
        <f>IF(E41&gt;0,F41/E41,0)</f>
        <v/>
      </c>
    </row>
    <row r="42">
      <c r="A42" s="11" t="n">
        <v>3</v>
      </c>
      <c r="B42" s="11">
        <f>PARAMETROS!B42</f>
        <v/>
      </c>
      <c r="E42" s="14">
        <f>SUMPRODUCT(($C$13:$C$27=B42)*$E$13:$E$27)</f>
        <v/>
      </c>
      <c r="F42" s="14">
        <f>SUMPRODUCT(($C$13:$C$27=B42)*$F$13:$F$27)</f>
        <v/>
      </c>
      <c r="G42" s="15">
        <f>IF(E42&gt;0,F42/E42,0)</f>
        <v/>
      </c>
    </row>
    <row r="43">
      <c r="A43" s="11" t="n">
        <v>4</v>
      </c>
      <c r="B43" s="11">
        <f>PARAMETROS!B43</f>
        <v/>
      </c>
      <c r="E43" s="14">
        <f>SUMPRODUCT(($C$13:$C$27=B43)*$E$13:$E$27)</f>
        <v/>
      </c>
      <c r="F43" s="14">
        <f>SUMPRODUCT(($C$13:$C$27=B43)*$F$13:$F$27)</f>
        <v/>
      </c>
      <c r="G43" s="15">
        <f>IF(E43&gt;0,F43/E43,0)</f>
        <v/>
      </c>
    </row>
    <row r="44">
      <c r="A44" s="10" t="inlineStr">
        <is>
          <t>RANKING — CÉLULAS MAIS SOBRECARREGADAS (filtro aplicado)</t>
        </is>
      </c>
    </row>
    <row r="45" ht="32" customHeight="1">
      <c r="A45" s="5" t="inlineStr">
        <is>
          <t>Pos.</t>
        </is>
      </c>
      <c r="B45" s="5" t="inlineStr">
        <is>
          <t>Célula</t>
        </is>
      </c>
      <c r="C45" s="5" t="inlineStr"/>
      <c r="D45" s="5" t="inlineStr"/>
      <c r="E45" s="5" t="inlineStr">
        <is>
          <t>Capacidade (h)</t>
        </is>
      </c>
      <c r="F45" s="5" t="inlineStr">
        <is>
          <t>Carga (h)</t>
        </is>
      </c>
      <c r="G45" s="5" t="inlineStr">
        <is>
          <t>Utilização</t>
        </is>
      </c>
    </row>
    <row r="46">
      <c r="A46" s="11" t="n">
        <v>1</v>
      </c>
      <c r="B46" s="12">
        <f>IF(LARGE($M$13:$M$27,1)&lt;1/100000,"-",INDEX($B$13:$B$27,MATCH(LARGE($M$13:$M$27,1),$M$13:$M$27,0)))</f>
        <v/>
      </c>
      <c r="E46" s="14">
        <f>IFERROR(INDEX($E$13:$E$27,MATCH(LARGE($M$13:$M$27,1),$M$13:$M$27,0)),0)</f>
        <v/>
      </c>
      <c r="F46" s="14">
        <f>IFERROR(INDEX($F$13:$F$27,MATCH(LARGE($M$13:$M$27,1),$M$13:$M$27,0)),0)</f>
        <v/>
      </c>
      <c r="G46" s="15">
        <f>IFERROR(INDEX($G$13:$G$27,MATCH(LARGE($M$13:$M$27,1),$M$13:$M$27,0)),0)</f>
        <v/>
      </c>
    </row>
    <row r="47">
      <c r="A47" s="11" t="n">
        <v>2</v>
      </c>
      <c r="B47" s="12">
        <f>IF(LARGE($M$13:$M$27,2)&lt;1/100000,"-",INDEX($B$13:$B$27,MATCH(LARGE($M$13:$M$27,2),$M$13:$M$27,0)))</f>
        <v/>
      </c>
      <c r="E47" s="14">
        <f>IFERROR(INDEX($E$13:$E$27,MATCH(LARGE($M$13:$M$27,2),$M$13:$M$27,0)),0)</f>
        <v/>
      </c>
      <c r="F47" s="14">
        <f>IFERROR(INDEX($F$13:$F$27,MATCH(LARGE($M$13:$M$27,2),$M$13:$M$27,0)),0)</f>
        <v/>
      </c>
      <c r="G47" s="15">
        <f>IFERROR(INDEX($G$13:$G$27,MATCH(LARGE($M$13:$M$27,2),$M$13:$M$27,0)),0)</f>
        <v/>
      </c>
    </row>
    <row r="48">
      <c r="A48" s="11" t="n">
        <v>3</v>
      </c>
      <c r="B48" s="12">
        <f>IF(LARGE($M$13:$M$27,3)&lt;1/100000,"-",INDEX($B$13:$B$27,MATCH(LARGE($M$13:$M$27,3),$M$13:$M$27,0)))</f>
        <v/>
      </c>
      <c r="E48" s="14">
        <f>IFERROR(INDEX($E$13:$E$27,MATCH(LARGE($M$13:$M$27,3),$M$13:$M$27,0)),0)</f>
        <v/>
      </c>
      <c r="F48" s="14">
        <f>IFERROR(INDEX($F$13:$F$27,MATCH(LARGE($M$13:$M$27,3),$M$13:$M$27,0)),0)</f>
        <v/>
      </c>
      <c r="G48" s="15">
        <f>IFERROR(INDEX($G$13:$G$27,MATCH(LARGE($M$13:$M$27,3),$M$13:$M$27,0)),0)</f>
        <v/>
      </c>
    </row>
    <row r="49">
      <c r="A49" s="11" t="n">
        <v>4</v>
      </c>
      <c r="B49" s="12">
        <f>IF(LARGE($M$13:$M$27,4)&lt;1/100000,"-",INDEX($B$13:$B$27,MATCH(LARGE($M$13:$M$27,4),$M$13:$M$27,0)))</f>
        <v/>
      </c>
      <c r="E49" s="14">
        <f>IFERROR(INDEX($E$13:$E$27,MATCH(LARGE($M$13:$M$27,4),$M$13:$M$27,0)),0)</f>
        <v/>
      </c>
      <c r="F49" s="14">
        <f>IFERROR(INDEX($F$13:$F$27,MATCH(LARGE($M$13:$M$27,4),$M$13:$M$27,0)),0)</f>
        <v/>
      </c>
      <c r="G49" s="15">
        <f>IFERROR(INDEX($G$13:$G$27,MATCH(LARGE($M$13:$M$27,4),$M$13:$M$27,0)),0)</f>
        <v/>
      </c>
    </row>
    <row r="50">
      <c r="A50" s="11" t="n">
        <v>5</v>
      </c>
      <c r="B50" s="12">
        <f>IF(LARGE($M$13:$M$27,5)&lt;1/100000,"-",INDEX($B$13:$B$27,MATCH(LARGE($M$13:$M$27,5),$M$13:$M$27,0)))</f>
        <v/>
      </c>
      <c r="E50" s="14">
        <f>IFERROR(INDEX($E$13:$E$27,MATCH(LARGE($M$13:$M$27,5),$M$13:$M$27,0)),0)</f>
        <v/>
      </c>
      <c r="F50" s="14">
        <f>IFERROR(INDEX($F$13:$F$27,MATCH(LARGE($M$13:$M$27,5),$M$13:$M$27,0)),0)</f>
        <v/>
      </c>
      <c r="G50" s="15">
        <f>IFERROR(INDEX($G$13:$G$27,MATCH(LARGE($M$13:$M$27,5),$M$13:$M$27,0)),0)</f>
        <v/>
      </c>
    </row>
  </sheetData>
  <conditionalFormatting sqref="D8">
    <cfRule type="expression" priority="1" dxfId="0">
      <formula>AND(D8&gt;=PARAMETROS!$C$7,D8&lt;&gt;0)</formula>
    </cfRule>
    <cfRule type="expression" priority="2" dxfId="1">
      <formula>AND(D8&gt;=PARAMETROS!$C$6,D8&lt;PARAMETROS!$C$7)</formula>
    </cfRule>
    <cfRule type="expression" priority="3" dxfId="2">
      <formula>AND(D8&gt;0,D8&lt;PARAMETROS!$C$6)</formula>
    </cfRule>
  </conditionalFormatting>
  <conditionalFormatting sqref="G13:G27">
    <cfRule type="expression" priority="4" dxfId="0">
      <formula>AND(G13&gt;=PARAMETROS!$C$7,G13&lt;&gt;0)</formula>
    </cfRule>
    <cfRule type="expression" priority="5" dxfId="1">
      <formula>AND(G13&gt;=PARAMETROS!$C$6,G13&lt;PARAMETROS!$C$7)</formula>
    </cfRule>
    <cfRule type="expression" priority="6" dxfId="2">
      <formula>AND(G13&gt;0,G13&lt;PARAMETROS!$C$6)</formula>
    </cfRule>
  </conditionalFormatting>
  <conditionalFormatting sqref="I13:I27">
    <cfRule type="expression" priority="7" dxfId="0">
      <formula>I13="INSUFICIENTE"</formula>
    </cfRule>
    <cfRule type="expression" priority="8" dxfId="1">
      <formula>I13="ATENÇÃO"</formula>
    </cfRule>
    <cfRule type="expression" priority="9" dxfId="2">
      <formula>I13="OK"</formula>
    </cfRule>
  </conditionalFormatting>
  <conditionalFormatting sqref="G31:G36">
    <cfRule type="expression" priority="10" dxfId="0">
      <formula>AND(G31&gt;=PARAMETROS!$C$7,G31&lt;&gt;0)</formula>
    </cfRule>
    <cfRule type="expression" priority="11" dxfId="1">
      <formula>AND(G31&gt;=PARAMETROS!$C$6,G31&lt;PARAMETROS!$C$7)</formula>
    </cfRule>
    <cfRule type="expression" priority="12" dxfId="2">
      <formula>AND(G31&gt;0,G31&lt;PARAMETROS!$C$6)</formula>
    </cfRule>
  </conditionalFormatting>
  <conditionalFormatting sqref="I31:I36">
    <cfRule type="expression" priority="13" dxfId="0">
      <formula>I31="INSUFICIENTE"</formula>
    </cfRule>
    <cfRule type="expression" priority="14" dxfId="1">
      <formula>I31="ATENÇÃO"</formula>
    </cfRule>
    <cfRule type="expression" priority="15" dxfId="2">
      <formula>I31="OK"</formula>
    </cfRule>
  </conditionalFormatting>
  <conditionalFormatting sqref="D10">
    <cfRule type="expression" priority="16" dxfId="0">
      <formula>AND(D10&gt;=PARAMETROS!$C$7,D10&lt;&gt;0)</formula>
    </cfRule>
    <cfRule type="expression" priority="17" dxfId="1">
      <formula>AND(D10&gt;=PARAMETROS!$C$6,D10&lt;PARAMETROS!$C$7)</formula>
    </cfRule>
    <cfRule type="expression" priority="18" dxfId="2">
      <formula>AND(D10&gt;0,D10&lt;PARAMETROS!$C$6)</formula>
    </cfRule>
  </conditionalFormatting>
  <conditionalFormatting sqref="G40:G43">
    <cfRule type="expression" priority="19" dxfId="0">
      <formula>AND(G40&gt;=PARAMETROS!$C$7,G40&lt;&gt;0)</formula>
    </cfRule>
    <cfRule type="expression" priority="20" dxfId="1">
      <formula>AND(G40&gt;=PARAMETROS!$C$6,G40&lt;PARAMETROS!$C$7)</formula>
    </cfRule>
    <cfRule type="expression" priority="21" dxfId="2">
      <formula>AND(G40&gt;0,G40&lt;PARAMETROS!$C$6)</formula>
    </cfRule>
  </conditionalFormatting>
  <conditionalFormatting sqref="G46:G50">
    <cfRule type="expression" priority="22" dxfId="0">
      <formula>AND(G46&gt;=PARAMETROS!$C$7,G46&lt;&gt;0)</formula>
    </cfRule>
    <cfRule type="expression" priority="23" dxfId="1">
      <formula>AND(G46&gt;=PARAMETROS!$C$6,G46&lt;PARAMETROS!$C$7)</formula>
    </cfRule>
    <cfRule type="expression" priority="24" dxfId="2">
      <formula>AND(G46&gt;0,G46&lt;PARAMETROS!$C$6)</formula>
    </cfRule>
  </conditionalFormatting>
  <dataValidations count="2">
    <dataValidation sqref="C3" showDropDown="0" showInputMessage="0" showErrorMessage="0" allowBlank="0" type="list">
      <formula1>=PARAMETROS!$C$17:$F$17</formula1>
    </dataValidation>
    <dataValidation sqref="C4" showDropDown="0" showInputMessage="0" showErrorMessage="0" allowBlank="0" type="list">
      <formula1>"TODAS,HE/PC,WL/WA,CT,MG"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E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16" customWidth="1" min="3" max="3"/>
    <col width="16" customWidth="1" min="4" max="4"/>
    <col width="14" customWidth="1" min="5" max="5"/>
  </cols>
  <sheetData>
    <row r="1">
      <c r="A1" s="1" t="inlineStr">
        <is>
          <t>SIMULADOR DE CAPACIDADE</t>
        </is>
      </c>
    </row>
    <row r="2">
      <c r="A2" s="4" t="inlineStr">
        <is>
          <t>Altere as células amarelas. O cenário 'Simulação' recalcula tudo e é comparado ao Atual.</t>
        </is>
      </c>
    </row>
    <row r="4">
      <c r="B4" s="19" t="inlineStr">
        <is>
          <t>ALAVANCAS</t>
        </is>
      </c>
    </row>
    <row r="5">
      <c r="B5" t="inlineStr">
        <is>
          <t>Célula a alterar</t>
        </is>
      </c>
      <c r="C5" s="3" t="n"/>
    </row>
    <row r="6">
      <c r="B6" t="inlineStr">
        <is>
          <t>Variação de funcionários por turno ativo (+/-)</t>
        </is>
      </c>
      <c r="C6" s="20" t="n">
        <v>0</v>
      </c>
    </row>
    <row r="7">
      <c r="B7" t="inlineStr">
        <is>
          <t>Turno A ativo (1/0)</t>
        </is>
      </c>
      <c r="C7" s="20" t="n">
        <v>1</v>
      </c>
      <c r="D7" s="4" t="inlineStr">
        <is>
          <t>← inicia igual ao cenário Atual</t>
        </is>
      </c>
    </row>
    <row r="8">
      <c r="B8" t="inlineStr">
        <is>
          <t>Turno B ativo (1/0)</t>
        </is>
      </c>
      <c r="C8" s="20" t="n">
        <v>0</v>
      </c>
      <c r="D8" s="21" t="inlineStr">
        <is>
          <t>← inicia igual ao cenário Atual</t>
        </is>
      </c>
    </row>
    <row r="9">
      <c r="B9" t="inlineStr">
        <is>
          <t>Turno C ativo (1/0)</t>
        </is>
      </c>
      <c r="C9" s="20" t="n">
        <v>0</v>
      </c>
      <c r="D9" s="21" t="inlineStr">
        <is>
          <t>← inicia igual ao cenário Atual</t>
        </is>
      </c>
    </row>
    <row r="10">
      <c r="B10" t="inlineStr">
        <is>
          <t>Horas extras por turno/dia (h)</t>
        </is>
      </c>
      <c r="C10" s="22" t="n">
        <v>0</v>
      </c>
      <c r="D10" s="21" t="inlineStr">
        <is>
          <t>← inicia igual ao cenário Atual</t>
        </is>
      </c>
    </row>
    <row r="11">
      <c r="B11" t="inlineStr">
        <is>
          <t>Dias com HE no mês</t>
        </is>
      </c>
      <c r="C11" s="20" t="n">
        <v>0</v>
      </c>
      <c r="D11" s="21" t="inlineStr">
        <is>
          <t>← inicia igual ao cenário Atual</t>
        </is>
      </c>
    </row>
    <row r="12">
      <c r="B12" t="inlineStr">
        <is>
          <t>Eficiência operacional</t>
        </is>
      </c>
      <c r="C12" s="23" t="n">
        <v>0.845969</v>
      </c>
      <c r="D12" s="21" t="inlineStr">
        <is>
          <t>← inicia igual ao cenário Atual</t>
        </is>
      </c>
    </row>
    <row r="13">
      <c r="B13" t="inlineStr">
        <is>
          <t>Disponibilidade</t>
        </is>
      </c>
      <c r="C13" s="23" t="n">
        <v>0.955</v>
      </c>
      <c r="D13" s="21" t="inlineStr">
        <is>
          <t>← inicia igual ao cenário Atual</t>
        </is>
      </c>
    </row>
    <row r="14">
      <c r="B14" t="inlineStr">
        <is>
          <t>Fator de demanda (1,20 = +20%)</t>
        </is>
      </c>
      <c r="C14" s="24" t="n">
        <v>1</v>
      </c>
      <c r="D14" s="21" t="inlineStr">
        <is>
          <t>← inicia igual ao cenário Atual</t>
        </is>
      </c>
    </row>
    <row r="15">
      <c r="B15" t="inlineStr">
        <is>
          <t>Fator de tempo (0,90 = -10%)</t>
        </is>
      </c>
      <c r="C15" s="24" t="n">
        <v>0.9</v>
      </c>
      <c r="D15" s="21" t="inlineStr">
        <is>
          <t>← inicia igual ao cenário Atual</t>
        </is>
      </c>
    </row>
    <row r="16">
      <c r="B16" t="inlineStr">
        <is>
          <t>Base de tempo (Padrão/Real)</t>
        </is>
      </c>
      <c r="C16" s="3" t="inlineStr">
        <is>
          <t>Padrão</t>
        </is>
      </c>
      <c r="D16" s="21" t="inlineStr">
        <is>
          <t>← inicia igual ao cenário Atual</t>
        </is>
      </c>
    </row>
    <row r="18">
      <c r="B18" s="19" t="inlineStr">
        <is>
          <t>RESULTADO — CÉLULA SELECIONADA (Atual × Simulação)</t>
        </is>
      </c>
    </row>
    <row r="19" ht="32" customHeight="1">
      <c r="A19" s="5" t="inlineStr"/>
      <c r="B19" s="5" t="inlineStr">
        <is>
          <t>Indicador</t>
        </is>
      </c>
      <c r="C19" s="5" t="inlineStr">
        <is>
          <t>Atual</t>
        </is>
      </c>
      <c r="D19" s="5" t="inlineStr">
        <is>
          <t>Simulação</t>
        </is>
      </c>
      <c r="E19" s="5" t="inlineStr">
        <is>
          <t>Variação</t>
        </is>
      </c>
    </row>
    <row r="20">
      <c r="B20" s="25" t="inlineStr">
        <is>
          <t>Funcionários</t>
        </is>
      </c>
      <c r="C20" s="13">
        <f>IFERROR(INDEX(CAP_CELULA!$E$6:$E$65,0+MATCH($C$5,MAO_OBRA!$A$6:$A$20,0)),0)</f>
        <v/>
      </c>
      <c r="D20" s="13">
        <f>IFERROR(INDEX(CAP_CELULA!$E$6:$E$65,45+MATCH($C$5,MAO_OBRA!$A$6:$A$20,0)),0)</f>
        <v/>
      </c>
      <c r="E20" s="13">
        <f>D20-C20</f>
        <v/>
      </c>
    </row>
    <row r="21">
      <c r="B21" s="25" t="inlineStr">
        <is>
          <t>Capacidade efetiva (h/mês)</t>
        </is>
      </c>
      <c r="C21" s="14">
        <f>IFERROR(INDEX(CAP_CELULA!$G$6:$G$65,0+MATCH($C$5,MAO_OBRA!$A$6:$A$20,0)),0)</f>
        <v/>
      </c>
      <c r="D21" s="14">
        <f>IFERROR(INDEX(CAP_CELULA!$G$6:$G$65,45+MATCH($C$5,MAO_OBRA!$A$6:$A$20,0)),0)</f>
        <v/>
      </c>
      <c r="E21" s="14">
        <f>D21-C21</f>
        <v/>
      </c>
    </row>
    <row r="22">
      <c r="B22" s="25" t="inlineStr">
        <is>
          <t>Carga (h/mês)</t>
        </is>
      </c>
      <c r="C22" s="14">
        <f>IFERROR(INDEX(CAP_CELULA!$I$6:$I$65,0+MATCH($C$5,MAO_OBRA!$A$6:$A$20,0)),0)</f>
        <v/>
      </c>
      <c r="D22" s="14">
        <f>IFERROR(INDEX(CAP_CELULA!$I$6:$I$65,45+MATCH($C$5,MAO_OBRA!$A$6:$A$20,0)),0)</f>
        <v/>
      </c>
      <c r="E22" s="14">
        <f>D22-C22</f>
        <v/>
      </c>
    </row>
    <row r="23">
      <c r="B23" s="25" t="inlineStr">
        <is>
          <t>Utilização</t>
        </is>
      </c>
      <c r="C23" s="15">
        <f>IFERROR(INDEX(CAP_CELULA!$J$6:$J$65,0+MATCH($C$5,MAO_OBRA!$A$6:$A$20,0)),0)</f>
        <v/>
      </c>
      <c r="D23" s="15">
        <f>IFERROR(INDEX(CAP_CELULA!$J$6:$J$65,45+MATCH($C$5,MAO_OBRA!$A$6:$A$20,0)),0)</f>
        <v/>
      </c>
      <c r="E23" s="15">
        <f>D23-C23</f>
        <v/>
      </c>
    </row>
    <row r="24">
      <c r="B24" s="25" t="inlineStr">
        <is>
          <t>Saldo (h)</t>
        </is>
      </c>
      <c r="C24" s="16">
        <f>IFERROR(INDEX(CAP_CELULA!$K$6:$K$65,0+MATCH($C$5,MAO_OBRA!$A$6:$A$20,0)),0)</f>
        <v/>
      </c>
      <c r="D24" s="16">
        <f>IFERROR(INDEX(CAP_CELULA!$K$6:$K$65,45+MATCH($C$5,MAO_OBRA!$A$6:$A$20,0)),0)</f>
        <v/>
      </c>
      <c r="E24" s="16">
        <f>D24-C24</f>
        <v/>
      </c>
    </row>
    <row r="25">
      <c r="B25" s="25" t="inlineStr">
        <is>
          <t>Capacidade equivalente (pç/mês)</t>
        </is>
      </c>
      <c r="C25" s="26">
        <f>IFERROR(INDEX(CAP_CELULA!$U$6:$U$65,0+MATCH($C$5,MAO_OBRA!$A$6:$A$20,0)),0)</f>
        <v/>
      </c>
      <c r="D25" s="26">
        <f>IFERROR(INDEX(CAP_CELULA!$U$6:$U$65,45+MATCH($C$5,MAO_OBRA!$A$6:$A$20,0)),0)</f>
        <v/>
      </c>
      <c r="E25" s="26">
        <f>D25-C25</f>
        <v/>
      </c>
    </row>
    <row r="26">
      <c r="B26" s="25" t="inlineStr">
        <is>
          <t>Extra com horas extras (h)</t>
        </is>
      </c>
      <c r="C26" s="14">
        <f>IFERROR(INDEX(CAP_CELULA!$H$6:$H$65,0+MATCH($C$5,MAO_OBRA!$A$6:$A$20,0)),0)</f>
        <v/>
      </c>
      <c r="D26" s="14">
        <f>IFERROR(INDEX(CAP_CELULA!$H$6:$H$65,45+MATCH($C$5,MAO_OBRA!$A$6:$A$20,0)),0)</f>
        <v/>
      </c>
      <c r="E26" s="14">
        <f>D26-C26</f>
        <v/>
      </c>
    </row>
    <row r="28">
      <c r="B28" s="19" t="inlineStr">
        <is>
          <t>RESULTADO GERAL (Simulação)</t>
        </is>
      </c>
    </row>
    <row r="29">
      <c r="B29" s="25" t="inlineStr">
        <is>
          <t>Utilização geral da Caldeiraria</t>
        </is>
      </c>
      <c r="C29" s="15">
        <f>COMPARATIVO!F8</f>
        <v/>
      </c>
    </row>
    <row r="30">
      <c r="B30" s="25" t="inlineStr">
        <is>
          <t>Horas extras necessárias (h)</t>
        </is>
      </c>
      <c r="C30" s="14">
        <f>COMPARATIVO!F11</f>
        <v/>
      </c>
    </row>
    <row r="31">
      <c r="B31" s="25" t="inlineStr">
        <is>
          <t>Funcionários necessários para o plano</t>
        </is>
      </c>
      <c r="C31" s="27">
        <f>COMPARATIVO!F13</f>
        <v/>
      </c>
    </row>
    <row r="32">
      <c r="B32" s="25" t="inlineStr">
        <is>
          <t>Funcionários disponíveis</t>
        </is>
      </c>
      <c r="C32" s="13">
        <f>COMPARATIVO!F5</f>
        <v/>
      </c>
    </row>
    <row r="33">
      <c r="B33" s="25" t="inlineStr">
        <is>
          <t>Células INSUFICIENTES</t>
        </is>
      </c>
      <c r="C33" s="13">
        <f>COMPARATIVO!F15</f>
        <v/>
      </c>
    </row>
    <row r="34">
      <c r="B34" s="25" t="inlineStr">
        <is>
          <t>Máquinas INSUFICIENTES</t>
        </is>
      </c>
      <c r="C34" s="13">
        <f>COMPARATIVO!F17</f>
        <v/>
      </c>
    </row>
    <row r="36">
      <c r="B36" s="19" t="inlineStr">
        <is>
          <t>RESPOSTAS RÁPIDAS (Simulação)</t>
        </is>
      </c>
    </row>
    <row r="37">
      <c r="B37" s="25" t="inlineStr">
        <is>
          <t>Célula mais sobrecarregada</t>
        </is>
      </c>
      <c r="C37" s="12">
        <f>IF(MAX(CAP_CELULA!$J$51:$J$65)=0,"-",INDEX(CAP_CELULA!$C$51:$C$65,MATCH(MAX(CAP_CELULA!$J$51:$J$65),CAP_CELULA!$J$51:$J$65,0)))</f>
        <v/>
      </c>
    </row>
    <row r="38">
      <c r="B38" s="25" t="inlineStr">
        <is>
          <t xml:space="preserve">  utilização</t>
        </is>
      </c>
      <c r="C38" s="15">
        <f>MAX(CAP_CELULA!$J$51:$J$65)</f>
        <v/>
      </c>
    </row>
    <row r="39">
      <c r="B39" s="25" t="inlineStr">
        <is>
          <t>Célula com mais mão de obra ociosa</t>
        </is>
      </c>
      <c r="C39" s="12">
        <f>IF(MAX(CAP_CELULA!$L$51:$L$65)=0,"-",INDEX(CAP_CELULA!$C$51:$C$65,MATCH(MAX(CAP_CELULA!$L$51:$L$65),CAP_CELULA!$L$51:$L$65,0)))</f>
        <v/>
      </c>
    </row>
    <row r="40">
      <c r="B40" s="25" t="inlineStr">
        <is>
          <t>Máquina de usinagem limitante</t>
        </is>
      </c>
      <c r="C40" s="12">
        <f>IF(MAX(USINAGEM!$I$24:$I$29)=0,"-",INDEX(USINAGEM!$C$24:$C$29,MATCH(MAX(USINAGEM!$I$24:$I$29),USINAGEM!$I$24:$I$29,0)))</f>
        <v/>
      </c>
    </row>
    <row r="41">
      <c r="B41" s="25" t="inlineStr">
        <is>
          <t xml:space="preserve">  utilização</t>
        </is>
      </c>
      <c r="C41" s="15">
        <f>MAX(USINAGEM!$I$24:$I$29)</f>
        <v/>
      </c>
    </row>
    <row r="42">
      <c r="B42" s="25" t="inlineStr">
        <is>
          <t>Linha (peça/processo) com maior consumo de horas</t>
        </is>
      </c>
      <c r="C42" s="12">
        <f>IFERROR(INDEX(DEMANDA_CARGA!$C$6:$C$205,MATCH(LARGE(DEMANDA_CARGA!$L$6:$L$205,1),DEMANDA_CARGA!$L$6:$L$205,0))&amp;" / "&amp;INDEX(DEMANDA_CARGA!$D$6:$D$205,MATCH(LARGE(DEMANDA_CARGA!$L$6:$L$205,1),DEMANDA_CARGA!$L$6:$L$205,0)),"-")</f>
        <v/>
      </c>
    </row>
    <row r="44">
      <c r="B44" s="4" t="inlineStr">
        <is>
          <t>Obs.: aba SIMULADOR usa o cenário 4 (Simulação). O Dashboard permite escolher qualquer cenário.</t>
        </is>
      </c>
    </row>
  </sheetData>
  <dataValidations count="1">
    <dataValidation sqref="C5" showDropDown="0" showInputMessage="0" showErrorMessage="0" allowBlank="1" type="list">
      <formula1>=MAO_OBRA!$A$6:$A$20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" customWidth="1" min="2" max="2"/>
    <col width="14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CAPACIDADE POR CÉLULA — 4 cenários (horas-homem/mês)</t>
        </is>
      </c>
    </row>
    <row r="2">
      <c r="A2" s="4" t="inlineStr">
        <is>
          <t>Células são recursos independentes. Dentro de um fluxo, o limitante é a célula/máquina de maior utilização (ver DEMANDA_CARGA, coluna Gargalo).</t>
        </is>
      </c>
    </row>
    <row r="5" ht="32" customHeight="1">
      <c r="A5" s="5" t="inlineStr">
        <is>
          <t>Cen.</t>
        </is>
      </c>
      <c r="B5" s="5" t="inlineStr">
        <is>
          <t>#</t>
        </is>
      </c>
      <c r="C5" s="5" t="inlineStr">
        <is>
          <t>Célula</t>
        </is>
      </c>
      <c r="D5" s="5" t="inlineStr">
        <is>
          <t>Família</t>
        </is>
      </c>
      <c r="E5" s="5" t="inlineStr">
        <is>
          <t>Funcionários</t>
        </is>
      </c>
      <c r="F5" s="5" t="inlineStr">
        <is>
          <t>Cap. nominal (h)</t>
        </is>
      </c>
      <c r="G5" s="5" t="inlineStr">
        <is>
          <t>Cap. efetiva (h)</t>
        </is>
      </c>
      <c r="H5" s="5" t="inlineStr">
        <is>
          <t>Cap. extra HE (h)</t>
        </is>
      </c>
      <c r="I5" s="5" t="inlineStr">
        <is>
          <t>Carga (h)</t>
        </is>
      </c>
      <c r="J5" s="5" t="inlineStr">
        <is>
          <t>Utilização</t>
        </is>
      </c>
      <c r="K5" s="5" t="inlineStr">
        <is>
          <t>Saldo (h)</t>
        </is>
      </c>
      <c r="L5" s="5" t="inlineStr">
        <is>
          <t>Ociosidade (h)</t>
        </is>
      </c>
      <c r="M5" s="5" t="inlineStr">
        <is>
          <t>Déficit (h)</t>
        </is>
      </c>
      <c r="N5" s="5" t="inlineStr">
        <is>
          <t>HE necessária (h)</t>
        </is>
      </c>
      <c r="O5" s="5" t="inlineStr">
        <is>
          <t>Func. adicionais</t>
        </is>
      </c>
      <c r="P5" s="5" t="inlineStr">
        <is>
          <t>Sogyodo</t>
        </is>
      </c>
      <c r="Q5" s="5" t="inlineStr">
        <is>
          <t>Status</t>
        </is>
      </c>
      <c r="R5" s="5" t="inlineStr">
        <is>
          <t>Util. c/ HE</t>
        </is>
      </c>
      <c r="S5" s="5" t="inlineStr">
        <is>
          <t>Cap. diária (h)</t>
        </is>
      </c>
      <c r="T5" s="5" t="inlineStr">
        <is>
          <t>Cap. semanal (h)</t>
        </is>
      </c>
      <c r="U5" s="5" t="inlineStr">
        <is>
          <t>Cap. equiv. (pç/mês)</t>
        </is>
      </c>
    </row>
    <row r="6">
      <c r="A6" s="11" t="n">
        <v>1</v>
      </c>
      <c r="B6" s="11" t="n">
        <v>1</v>
      </c>
      <c r="C6" s="11">
        <f>IF(MAO_OBRA!A6="","",MAO_OBRA!A6)</f>
        <v/>
      </c>
      <c r="D6" s="11">
        <f>IF(MAO_OBRA!B6="","",MAO_OBRA!B6)</f>
        <v/>
      </c>
      <c r="E6" s="13">
        <f>MAO_OBRA!O6</f>
        <v/>
      </c>
      <c r="F6" s="14">
        <f>PARAMETROS!$C$4*(MAO_OBRA!C6*PARAMETROS!$C$18*PARAMETROS!$F$11+MAO_OBRA!D6*PARAMETROS!$C$19*PARAMETROS!$F$12+MAO_OBRA!E6*PARAMETROS!$C$20*PARAMETROS!$F$13)</f>
        <v/>
      </c>
      <c r="G6" s="14">
        <f>F6*PARAMETROS!$C$23*PARAMETROS!$C$24</f>
        <v/>
      </c>
      <c r="H6" s="14">
        <f>PARAMETROS!$C$22*PARAMETROS!$C$21*E6*PARAMETROS!$C$23*PARAMETROS!$C$24</f>
        <v/>
      </c>
      <c r="I6" s="14">
        <f>IF(C6="",0,PARAMETROS!$C$25/60*(IF(PARAMETROS!$C$27="Real",SUMPRODUCT((BASE!$E$6:$E$205=C6)*BASE!$P$6:$P$205*BASE!$L$6:$L$205*BASE!$N$6:$N$205),SUMPRODUCT((BASE!$E$6:$E$205=C6)*BASE!$P$6:$P$205*BASE!$L$6:$L$205*BASE!$H$6:$H$205))*PARAMETROS!$C$26+SUMPRODUCT((BASE!$E$6:$E$205=C6)*BASE!$P$6:$P$205*BASE!$L$6:$L$205*BASE!$O$6:$O$205)))</f>
        <v/>
      </c>
      <c r="J6" s="15">
        <f>IF(G6&gt;0,I6/G6,0)</f>
        <v/>
      </c>
      <c r="K6" s="16">
        <f>G6-I6</f>
        <v/>
      </c>
      <c r="L6" s="14">
        <f>MAX(0,K6)</f>
        <v/>
      </c>
      <c r="M6" s="14">
        <f>MAX(0,-K6)</f>
        <v/>
      </c>
      <c r="N6" s="14">
        <f>M6</f>
        <v/>
      </c>
      <c r="O6" s="14">
        <f>IF(PARAMETROS!$C$28&gt;0,M6/PARAMETROS!$C$28,0)</f>
        <v/>
      </c>
      <c r="P6" s="15">
        <f>IF(PARAMETROS!$C$8="Nominal",IF(F6&gt;0,I6/F6,0),J6)</f>
        <v/>
      </c>
      <c r="Q6" s="12">
        <f>IF(C6="","",IF(I6=0,"SEM CARGA",IF(OR(G6=0,J6&gt;=PARAMETROS!$C$7),"INSUFICIENTE",IF(J6&gt;=PARAMETROS!$C$6,"ATENÇÃO","OK"))))</f>
        <v/>
      </c>
      <c r="R6" s="15">
        <f>IF(G6+H6&gt;0,I6/(G6+H6),0)</f>
        <v/>
      </c>
      <c r="S6" s="14">
        <f>G6/PARAMETROS!$C$4</f>
        <v/>
      </c>
      <c r="T6" s="14">
        <f>S6*PARAMETROS!$C$5</f>
        <v/>
      </c>
      <c r="U6" s="28">
        <f>IF(I6&gt;0,SUMIF(BASE!$E$6:$E$205,C6,BASE!$L$6:$L$205)*PARAMETROS!$C$25*G6/I6,0)</f>
        <v/>
      </c>
    </row>
    <row r="7">
      <c r="A7" s="11" t="n">
        <v>1</v>
      </c>
      <c r="B7" s="11" t="n">
        <v>2</v>
      </c>
      <c r="C7" s="11">
        <f>IF(MAO_OBRA!A7="","",MAO_OBRA!A7)</f>
        <v/>
      </c>
      <c r="D7" s="11">
        <f>IF(MAO_OBRA!B7="","",MAO_OBRA!B7)</f>
        <v/>
      </c>
      <c r="E7" s="13">
        <f>MAO_OBRA!O7</f>
        <v/>
      </c>
      <c r="F7" s="14">
        <f>PARAMETROS!$C$4*(MAO_OBRA!C7*PARAMETROS!$C$18*PARAMETROS!$F$11+MAO_OBRA!D7*PARAMETROS!$C$19*PARAMETROS!$F$12+MAO_OBRA!E7*PARAMETROS!$C$20*PARAMETROS!$F$13)</f>
        <v/>
      </c>
      <c r="G7" s="14">
        <f>F7*PARAMETROS!$C$23*PARAMETROS!$C$24</f>
        <v/>
      </c>
      <c r="H7" s="14">
        <f>PARAMETROS!$C$22*PARAMETROS!$C$21*E7*PARAMETROS!$C$23*PARAMETROS!$C$24</f>
        <v/>
      </c>
      <c r="I7" s="14">
        <f>IF(C7="",0,PARAMETROS!$C$25/60*(IF(PARAMETROS!$C$27="Real",SUMPRODUCT((BASE!$E$6:$E$205=C7)*BASE!$P$6:$P$205*BASE!$L$6:$L$205*BASE!$N$6:$N$205),SUMPRODUCT((BASE!$E$6:$E$205=C7)*BASE!$P$6:$P$205*BASE!$L$6:$L$205*BASE!$H$6:$H$205))*PARAMETROS!$C$26+SUMPRODUCT((BASE!$E$6:$E$205=C7)*BASE!$P$6:$P$205*BASE!$L$6:$L$205*BASE!$O$6:$O$205)))</f>
        <v/>
      </c>
      <c r="J7" s="15">
        <f>IF(G7&gt;0,I7/G7,0)</f>
        <v/>
      </c>
      <c r="K7" s="16">
        <f>G7-I7</f>
        <v/>
      </c>
      <c r="L7" s="14">
        <f>MAX(0,K7)</f>
        <v/>
      </c>
      <c r="M7" s="14">
        <f>MAX(0,-K7)</f>
        <v/>
      </c>
      <c r="N7" s="14">
        <f>M7</f>
        <v/>
      </c>
      <c r="O7" s="14">
        <f>IF(PARAMETROS!$C$28&gt;0,M7/PARAMETROS!$C$28,0)</f>
        <v/>
      </c>
      <c r="P7" s="15">
        <f>IF(PARAMETROS!$C$8="Nominal",IF(F7&gt;0,I7/F7,0),J7)</f>
        <v/>
      </c>
      <c r="Q7" s="12">
        <f>IF(C7="","",IF(I7=0,"SEM CARGA",IF(OR(G7=0,J7&gt;=PARAMETROS!$C$7),"INSUFICIENTE",IF(J7&gt;=PARAMETROS!$C$6,"ATENÇÃO","OK"))))</f>
        <v/>
      </c>
      <c r="R7" s="15">
        <f>IF(G7+H7&gt;0,I7/(G7+H7),0)</f>
        <v/>
      </c>
      <c r="S7" s="14">
        <f>G7/PARAMETROS!$C$4</f>
        <v/>
      </c>
      <c r="T7" s="14">
        <f>S7*PARAMETROS!$C$5</f>
        <v/>
      </c>
      <c r="U7" s="28">
        <f>IF(I7&gt;0,SUMIF(BASE!$E$6:$E$205,C7,BASE!$L$6:$L$205)*PARAMETROS!$C$25*G7/I7,0)</f>
        <v/>
      </c>
    </row>
    <row r="8">
      <c r="A8" s="11" t="n">
        <v>1</v>
      </c>
      <c r="B8" s="11" t="n">
        <v>3</v>
      </c>
      <c r="C8" s="11">
        <f>IF(MAO_OBRA!A8="","",MAO_OBRA!A8)</f>
        <v/>
      </c>
      <c r="D8" s="11">
        <f>IF(MAO_OBRA!B8="","",MAO_OBRA!B8)</f>
        <v/>
      </c>
      <c r="E8" s="13">
        <f>MAO_OBRA!O8</f>
        <v/>
      </c>
      <c r="F8" s="14">
        <f>PARAMETROS!$C$4*(MAO_OBRA!C8*PARAMETROS!$C$18*PARAMETROS!$F$11+MAO_OBRA!D8*PARAMETROS!$C$19*PARAMETROS!$F$12+MAO_OBRA!E8*PARAMETROS!$C$20*PARAMETROS!$F$13)</f>
        <v/>
      </c>
      <c r="G8" s="14">
        <f>F8*PARAMETROS!$C$23*PARAMETROS!$C$24</f>
        <v/>
      </c>
      <c r="H8" s="14">
        <f>PARAMETROS!$C$22*PARAMETROS!$C$21*E8*PARAMETROS!$C$23*PARAMETROS!$C$24</f>
        <v/>
      </c>
      <c r="I8" s="14">
        <f>IF(C8="",0,PARAMETROS!$C$25/60*(IF(PARAMETROS!$C$27="Real",SUMPRODUCT((BASE!$E$6:$E$205=C8)*BASE!$P$6:$P$205*BASE!$L$6:$L$205*BASE!$N$6:$N$205),SUMPRODUCT((BASE!$E$6:$E$205=C8)*BASE!$P$6:$P$205*BASE!$L$6:$L$205*BASE!$H$6:$H$205))*PARAMETROS!$C$26+SUMPRODUCT((BASE!$E$6:$E$205=C8)*BASE!$P$6:$P$205*BASE!$L$6:$L$205*BASE!$O$6:$O$205)))</f>
        <v/>
      </c>
      <c r="J8" s="15">
        <f>IF(G8&gt;0,I8/G8,0)</f>
        <v/>
      </c>
      <c r="K8" s="16">
        <f>G8-I8</f>
        <v/>
      </c>
      <c r="L8" s="14">
        <f>MAX(0,K8)</f>
        <v/>
      </c>
      <c r="M8" s="14">
        <f>MAX(0,-K8)</f>
        <v/>
      </c>
      <c r="N8" s="14">
        <f>M8</f>
        <v/>
      </c>
      <c r="O8" s="14">
        <f>IF(PARAMETROS!$C$28&gt;0,M8/PARAMETROS!$C$28,0)</f>
        <v/>
      </c>
      <c r="P8" s="15">
        <f>IF(PARAMETROS!$C$8="Nominal",IF(F8&gt;0,I8/F8,0),J8)</f>
        <v/>
      </c>
      <c r="Q8" s="12">
        <f>IF(C8="","",IF(I8=0,"SEM CARGA",IF(OR(G8=0,J8&gt;=PARAMETROS!$C$7),"INSUFICIENTE",IF(J8&gt;=PARAMETROS!$C$6,"ATENÇÃO","OK"))))</f>
        <v/>
      </c>
      <c r="R8" s="15">
        <f>IF(G8+H8&gt;0,I8/(G8+H8),0)</f>
        <v/>
      </c>
      <c r="S8" s="14">
        <f>G8/PARAMETROS!$C$4</f>
        <v/>
      </c>
      <c r="T8" s="14">
        <f>S8*PARAMETROS!$C$5</f>
        <v/>
      </c>
      <c r="U8" s="28">
        <f>IF(I8&gt;0,SUMIF(BASE!$E$6:$E$205,C8,BASE!$L$6:$L$205)*PARAMETROS!$C$25*G8/I8,0)</f>
        <v/>
      </c>
    </row>
    <row r="9">
      <c r="A9" s="11" t="n">
        <v>1</v>
      </c>
      <c r="B9" s="11" t="n">
        <v>4</v>
      </c>
      <c r="C9" s="11">
        <f>IF(MAO_OBRA!A9="","",MAO_OBRA!A9)</f>
        <v/>
      </c>
      <c r="D9" s="11">
        <f>IF(MAO_OBRA!B9="","",MAO_OBRA!B9)</f>
        <v/>
      </c>
      <c r="E9" s="13">
        <f>MAO_OBRA!O9</f>
        <v/>
      </c>
      <c r="F9" s="14">
        <f>PARAMETROS!$C$4*(MAO_OBRA!C9*PARAMETROS!$C$18*PARAMETROS!$F$11+MAO_OBRA!D9*PARAMETROS!$C$19*PARAMETROS!$F$12+MAO_OBRA!E9*PARAMETROS!$C$20*PARAMETROS!$F$13)</f>
        <v/>
      </c>
      <c r="G9" s="14">
        <f>F9*PARAMETROS!$C$23*PARAMETROS!$C$24</f>
        <v/>
      </c>
      <c r="H9" s="14">
        <f>PARAMETROS!$C$22*PARAMETROS!$C$21*E9*PARAMETROS!$C$23*PARAMETROS!$C$24</f>
        <v/>
      </c>
      <c r="I9" s="14">
        <f>IF(C9="",0,PARAMETROS!$C$25/60*(IF(PARAMETROS!$C$27="Real",SUMPRODUCT((BASE!$E$6:$E$205=C9)*BASE!$P$6:$P$205*BASE!$L$6:$L$205*BASE!$N$6:$N$205),SUMPRODUCT((BASE!$E$6:$E$205=C9)*BASE!$P$6:$P$205*BASE!$L$6:$L$205*BASE!$H$6:$H$205))*PARAMETROS!$C$26+SUMPRODUCT((BASE!$E$6:$E$205=C9)*BASE!$P$6:$P$205*BASE!$L$6:$L$205*BASE!$O$6:$O$205)))</f>
        <v/>
      </c>
      <c r="J9" s="15">
        <f>IF(G9&gt;0,I9/G9,0)</f>
        <v/>
      </c>
      <c r="K9" s="16">
        <f>G9-I9</f>
        <v/>
      </c>
      <c r="L9" s="14">
        <f>MAX(0,K9)</f>
        <v/>
      </c>
      <c r="M9" s="14">
        <f>MAX(0,-K9)</f>
        <v/>
      </c>
      <c r="N9" s="14">
        <f>M9</f>
        <v/>
      </c>
      <c r="O9" s="14">
        <f>IF(PARAMETROS!$C$28&gt;0,M9/PARAMETROS!$C$28,0)</f>
        <v/>
      </c>
      <c r="P9" s="15">
        <f>IF(PARAMETROS!$C$8="Nominal",IF(F9&gt;0,I9/F9,0),J9)</f>
        <v/>
      </c>
      <c r="Q9" s="12">
        <f>IF(C9="","",IF(I9=0,"SEM CARGA",IF(OR(G9=0,J9&gt;=PARAMETROS!$C$7),"INSUFICIENTE",IF(J9&gt;=PARAMETROS!$C$6,"ATENÇÃO","OK"))))</f>
        <v/>
      </c>
      <c r="R9" s="15">
        <f>IF(G9+H9&gt;0,I9/(G9+H9),0)</f>
        <v/>
      </c>
      <c r="S9" s="14">
        <f>G9/PARAMETROS!$C$4</f>
        <v/>
      </c>
      <c r="T9" s="14">
        <f>S9*PARAMETROS!$C$5</f>
        <v/>
      </c>
      <c r="U9" s="28">
        <f>IF(I9&gt;0,SUMIF(BASE!$E$6:$E$205,C9,BASE!$L$6:$L$205)*PARAMETROS!$C$25*G9/I9,0)</f>
        <v/>
      </c>
    </row>
    <row r="10">
      <c r="A10" s="11" t="n">
        <v>1</v>
      </c>
      <c r="B10" s="11" t="n">
        <v>5</v>
      </c>
      <c r="C10" s="11">
        <f>IF(MAO_OBRA!A10="","",MAO_OBRA!A10)</f>
        <v/>
      </c>
      <c r="D10" s="11">
        <f>IF(MAO_OBRA!B10="","",MAO_OBRA!B10)</f>
        <v/>
      </c>
      <c r="E10" s="13">
        <f>MAO_OBRA!O10</f>
        <v/>
      </c>
      <c r="F10" s="14">
        <f>PARAMETROS!$C$4*(MAO_OBRA!C10*PARAMETROS!$C$18*PARAMETROS!$F$11+MAO_OBRA!D10*PARAMETROS!$C$19*PARAMETROS!$F$12+MAO_OBRA!E10*PARAMETROS!$C$20*PARAMETROS!$F$13)</f>
        <v/>
      </c>
      <c r="G10" s="14">
        <f>F10*PARAMETROS!$C$23*PARAMETROS!$C$24</f>
        <v/>
      </c>
      <c r="H10" s="14">
        <f>PARAMETROS!$C$22*PARAMETROS!$C$21*E10*PARAMETROS!$C$23*PARAMETROS!$C$24</f>
        <v/>
      </c>
      <c r="I10" s="14">
        <f>IF(C10="",0,PARAMETROS!$C$25/60*(IF(PARAMETROS!$C$27="Real",SUMPRODUCT((BASE!$E$6:$E$205=C10)*BASE!$P$6:$P$205*BASE!$L$6:$L$205*BASE!$N$6:$N$205),SUMPRODUCT((BASE!$E$6:$E$205=C10)*BASE!$P$6:$P$205*BASE!$L$6:$L$205*BASE!$H$6:$H$205))*PARAMETROS!$C$26+SUMPRODUCT((BASE!$E$6:$E$205=C10)*BASE!$P$6:$P$205*BASE!$L$6:$L$205*BASE!$O$6:$O$205)))</f>
        <v/>
      </c>
      <c r="J10" s="15">
        <f>IF(G10&gt;0,I10/G10,0)</f>
        <v/>
      </c>
      <c r="K10" s="16">
        <f>G10-I10</f>
        <v/>
      </c>
      <c r="L10" s="14">
        <f>MAX(0,K10)</f>
        <v/>
      </c>
      <c r="M10" s="14">
        <f>MAX(0,-K10)</f>
        <v/>
      </c>
      <c r="N10" s="14">
        <f>M10</f>
        <v/>
      </c>
      <c r="O10" s="14">
        <f>IF(PARAMETROS!$C$28&gt;0,M10/PARAMETROS!$C$28,0)</f>
        <v/>
      </c>
      <c r="P10" s="15">
        <f>IF(PARAMETROS!$C$8="Nominal",IF(F10&gt;0,I10/F10,0),J10)</f>
        <v/>
      </c>
      <c r="Q10" s="12">
        <f>IF(C10="","",IF(I10=0,"SEM CARGA",IF(OR(G10=0,J10&gt;=PARAMETROS!$C$7),"INSUFICIENTE",IF(J10&gt;=PARAMETROS!$C$6,"ATENÇÃO","OK"))))</f>
        <v/>
      </c>
      <c r="R10" s="15">
        <f>IF(G10+H10&gt;0,I10/(G10+H10),0)</f>
        <v/>
      </c>
      <c r="S10" s="14">
        <f>G10/PARAMETROS!$C$4</f>
        <v/>
      </c>
      <c r="T10" s="14">
        <f>S10*PARAMETROS!$C$5</f>
        <v/>
      </c>
      <c r="U10" s="28">
        <f>IF(I10&gt;0,SUMIF(BASE!$E$6:$E$205,C10,BASE!$L$6:$L$205)*PARAMETROS!$C$25*G10/I10,0)</f>
        <v/>
      </c>
    </row>
    <row r="11">
      <c r="A11" s="11" t="n">
        <v>1</v>
      </c>
      <c r="B11" s="11" t="n">
        <v>6</v>
      </c>
      <c r="C11" s="11">
        <f>IF(MAO_OBRA!A11="","",MAO_OBRA!A11)</f>
        <v/>
      </c>
      <c r="D11" s="11">
        <f>IF(MAO_OBRA!B11="","",MAO_OBRA!B11)</f>
        <v/>
      </c>
      <c r="E11" s="13">
        <f>MAO_OBRA!O11</f>
        <v/>
      </c>
      <c r="F11" s="14">
        <f>PARAMETROS!$C$4*(MAO_OBRA!C11*PARAMETROS!$C$18*PARAMETROS!$F$11+MAO_OBRA!D11*PARAMETROS!$C$19*PARAMETROS!$F$12+MAO_OBRA!E11*PARAMETROS!$C$20*PARAMETROS!$F$13)</f>
        <v/>
      </c>
      <c r="G11" s="14">
        <f>F11*PARAMETROS!$C$23*PARAMETROS!$C$24</f>
        <v/>
      </c>
      <c r="H11" s="14">
        <f>PARAMETROS!$C$22*PARAMETROS!$C$21*E11*PARAMETROS!$C$23*PARAMETROS!$C$24</f>
        <v/>
      </c>
      <c r="I11" s="14">
        <f>IF(C11="",0,PARAMETROS!$C$25/60*(IF(PARAMETROS!$C$27="Real",SUMPRODUCT((BASE!$E$6:$E$205=C11)*BASE!$P$6:$P$205*BASE!$L$6:$L$205*BASE!$N$6:$N$205),SUMPRODUCT((BASE!$E$6:$E$205=C11)*BASE!$P$6:$P$205*BASE!$L$6:$L$205*BASE!$H$6:$H$205))*PARAMETROS!$C$26+SUMPRODUCT((BASE!$E$6:$E$205=C11)*BASE!$P$6:$P$205*BASE!$L$6:$L$205*BASE!$O$6:$O$205)))</f>
        <v/>
      </c>
      <c r="J11" s="15">
        <f>IF(G11&gt;0,I11/G11,0)</f>
        <v/>
      </c>
      <c r="K11" s="16">
        <f>G11-I11</f>
        <v/>
      </c>
      <c r="L11" s="14">
        <f>MAX(0,K11)</f>
        <v/>
      </c>
      <c r="M11" s="14">
        <f>MAX(0,-K11)</f>
        <v/>
      </c>
      <c r="N11" s="14">
        <f>M11</f>
        <v/>
      </c>
      <c r="O11" s="14">
        <f>IF(PARAMETROS!$C$28&gt;0,M11/PARAMETROS!$C$28,0)</f>
        <v/>
      </c>
      <c r="P11" s="15">
        <f>IF(PARAMETROS!$C$8="Nominal",IF(F11&gt;0,I11/F11,0),J11)</f>
        <v/>
      </c>
      <c r="Q11" s="12">
        <f>IF(C11="","",IF(I11=0,"SEM CARGA",IF(OR(G11=0,J11&gt;=PARAMETROS!$C$7),"INSUFICIENTE",IF(J11&gt;=PARAMETROS!$C$6,"ATENÇÃO","OK"))))</f>
        <v/>
      </c>
      <c r="R11" s="15">
        <f>IF(G11+H11&gt;0,I11/(G11+H11),0)</f>
        <v/>
      </c>
      <c r="S11" s="14">
        <f>G11/PARAMETROS!$C$4</f>
        <v/>
      </c>
      <c r="T11" s="14">
        <f>S11*PARAMETROS!$C$5</f>
        <v/>
      </c>
      <c r="U11" s="28">
        <f>IF(I11&gt;0,SUMIF(BASE!$E$6:$E$205,C11,BASE!$L$6:$L$205)*PARAMETROS!$C$25*G11/I11,0)</f>
        <v/>
      </c>
    </row>
    <row r="12">
      <c r="A12" s="11" t="n">
        <v>1</v>
      </c>
      <c r="B12" s="11" t="n">
        <v>7</v>
      </c>
      <c r="C12" s="11">
        <f>IF(MAO_OBRA!A12="","",MAO_OBRA!A12)</f>
        <v/>
      </c>
      <c r="D12" s="11">
        <f>IF(MAO_OBRA!B12="","",MAO_OBRA!B12)</f>
        <v/>
      </c>
      <c r="E12" s="13">
        <f>MAO_OBRA!O12</f>
        <v/>
      </c>
      <c r="F12" s="14">
        <f>PARAMETROS!$C$4*(MAO_OBRA!C12*PARAMETROS!$C$18*PARAMETROS!$F$11+MAO_OBRA!D12*PARAMETROS!$C$19*PARAMETROS!$F$12+MAO_OBRA!E12*PARAMETROS!$C$20*PARAMETROS!$F$13)</f>
        <v/>
      </c>
      <c r="G12" s="14">
        <f>F12*PARAMETROS!$C$23*PARAMETROS!$C$24</f>
        <v/>
      </c>
      <c r="H12" s="14">
        <f>PARAMETROS!$C$22*PARAMETROS!$C$21*E12*PARAMETROS!$C$23*PARAMETROS!$C$24</f>
        <v/>
      </c>
      <c r="I12" s="14">
        <f>IF(C12="",0,PARAMETROS!$C$25/60*(IF(PARAMETROS!$C$27="Real",SUMPRODUCT((BASE!$E$6:$E$205=C12)*BASE!$P$6:$P$205*BASE!$L$6:$L$205*BASE!$N$6:$N$205),SUMPRODUCT((BASE!$E$6:$E$205=C12)*BASE!$P$6:$P$205*BASE!$L$6:$L$205*BASE!$H$6:$H$205))*PARAMETROS!$C$26+SUMPRODUCT((BASE!$E$6:$E$205=C12)*BASE!$P$6:$P$205*BASE!$L$6:$L$205*BASE!$O$6:$O$205)))</f>
        <v/>
      </c>
      <c r="J12" s="15">
        <f>IF(G12&gt;0,I12/G12,0)</f>
        <v/>
      </c>
      <c r="K12" s="16">
        <f>G12-I12</f>
        <v/>
      </c>
      <c r="L12" s="14">
        <f>MAX(0,K12)</f>
        <v/>
      </c>
      <c r="M12" s="14">
        <f>MAX(0,-K12)</f>
        <v/>
      </c>
      <c r="N12" s="14">
        <f>M12</f>
        <v/>
      </c>
      <c r="O12" s="14">
        <f>IF(PARAMETROS!$C$28&gt;0,M12/PARAMETROS!$C$28,0)</f>
        <v/>
      </c>
      <c r="P12" s="15">
        <f>IF(PARAMETROS!$C$8="Nominal",IF(F12&gt;0,I12/F12,0),J12)</f>
        <v/>
      </c>
      <c r="Q12" s="12">
        <f>IF(C12="","",IF(I12=0,"SEM CARGA",IF(OR(G12=0,J12&gt;=PARAMETROS!$C$7),"INSUFICIENTE",IF(J12&gt;=PARAMETROS!$C$6,"ATENÇÃO","OK"))))</f>
        <v/>
      </c>
      <c r="R12" s="15">
        <f>IF(G12+H12&gt;0,I12/(G12+H12),0)</f>
        <v/>
      </c>
      <c r="S12" s="14">
        <f>G12/PARAMETROS!$C$4</f>
        <v/>
      </c>
      <c r="T12" s="14">
        <f>S12*PARAMETROS!$C$5</f>
        <v/>
      </c>
      <c r="U12" s="28">
        <f>IF(I12&gt;0,SUMIF(BASE!$E$6:$E$205,C12,BASE!$L$6:$L$205)*PARAMETROS!$C$25*G12/I12,0)</f>
        <v/>
      </c>
    </row>
    <row r="13">
      <c r="A13" s="11" t="n">
        <v>1</v>
      </c>
      <c r="B13" s="11" t="n">
        <v>8</v>
      </c>
      <c r="C13" s="11">
        <f>IF(MAO_OBRA!A13="","",MAO_OBRA!A13)</f>
        <v/>
      </c>
      <c r="D13" s="11">
        <f>IF(MAO_OBRA!B13="","",MAO_OBRA!B13)</f>
        <v/>
      </c>
      <c r="E13" s="13">
        <f>MAO_OBRA!O13</f>
        <v/>
      </c>
      <c r="F13" s="14">
        <f>PARAMETROS!$C$4*(MAO_OBRA!C13*PARAMETROS!$C$18*PARAMETROS!$F$11+MAO_OBRA!D13*PARAMETROS!$C$19*PARAMETROS!$F$12+MAO_OBRA!E13*PARAMETROS!$C$20*PARAMETROS!$F$13)</f>
        <v/>
      </c>
      <c r="G13" s="14">
        <f>F13*PARAMETROS!$C$23*PARAMETROS!$C$24</f>
        <v/>
      </c>
      <c r="H13" s="14">
        <f>PARAMETROS!$C$22*PARAMETROS!$C$21*E13*PARAMETROS!$C$23*PARAMETROS!$C$24</f>
        <v/>
      </c>
      <c r="I13" s="14">
        <f>IF(C13="",0,PARAMETROS!$C$25/60*(IF(PARAMETROS!$C$27="Real",SUMPRODUCT((BASE!$E$6:$E$205=C13)*BASE!$P$6:$P$205*BASE!$L$6:$L$205*BASE!$N$6:$N$205),SUMPRODUCT((BASE!$E$6:$E$205=C13)*BASE!$P$6:$P$205*BASE!$L$6:$L$205*BASE!$H$6:$H$205))*PARAMETROS!$C$26+SUMPRODUCT((BASE!$E$6:$E$205=C13)*BASE!$P$6:$P$205*BASE!$L$6:$L$205*BASE!$O$6:$O$205)))</f>
        <v/>
      </c>
      <c r="J13" s="15">
        <f>IF(G13&gt;0,I13/G13,0)</f>
        <v/>
      </c>
      <c r="K13" s="16">
        <f>G13-I13</f>
        <v/>
      </c>
      <c r="L13" s="14">
        <f>MAX(0,K13)</f>
        <v/>
      </c>
      <c r="M13" s="14">
        <f>MAX(0,-K13)</f>
        <v/>
      </c>
      <c r="N13" s="14">
        <f>M13</f>
        <v/>
      </c>
      <c r="O13" s="14">
        <f>IF(PARAMETROS!$C$28&gt;0,M13/PARAMETROS!$C$28,0)</f>
        <v/>
      </c>
      <c r="P13" s="15">
        <f>IF(PARAMETROS!$C$8="Nominal",IF(F13&gt;0,I13/F13,0),J13)</f>
        <v/>
      </c>
      <c r="Q13" s="12">
        <f>IF(C13="","",IF(I13=0,"SEM CARGA",IF(OR(G13=0,J13&gt;=PARAMETROS!$C$7),"INSUFICIENTE",IF(J13&gt;=PARAMETROS!$C$6,"ATENÇÃO","OK"))))</f>
        <v/>
      </c>
      <c r="R13" s="15">
        <f>IF(G13+H13&gt;0,I13/(G13+H13),0)</f>
        <v/>
      </c>
      <c r="S13" s="14">
        <f>G13/PARAMETROS!$C$4</f>
        <v/>
      </c>
      <c r="T13" s="14">
        <f>S13*PARAMETROS!$C$5</f>
        <v/>
      </c>
      <c r="U13" s="28">
        <f>IF(I13&gt;0,SUMIF(BASE!$E$6:$E$205,C13,BASE!$L$6:$L$205)*PARAMETROS!$C$25*G13/I13,0)</f>
        <v/>
      </c>
    </row>
    <row r="14">
      <c r="A14" s="11" t="n">
        <v>1</v>
      </c>
      <c r="B14" s="11" t="n">
        <v>9</v>
      </c>
      <c r="C14" s="11">
        <f>IF(MAO_OBRA!A14="","",MAO_OBRA!A14)</f>
        <v/>
      </c>
      <c r="D14" s="11">
        <f>IF(MAO_OBRA!B14="","",MAO_OBRA!B14)</f>
        <v/>
      </c>
      <c r="E14" s="13">
        <f>MAO_OBRA!O14</f>
        <v/>
      </c>
      <c r="F14" s="14">
        <f>PARAMETROS!$C$4*(MAO_OBRA!C14*PARAMETROS!$C$18*PARAMETROS!$F$11+MAO_OBRA!D14*PARAMETROS!$C$19*PARAMETROS!$F$12+MAO_OBRA!E14*PARAMETROS!$C$20*PARAMETROS!$F$13)</f>
        <v/>
      </c>
      <c r="G14" s="14">
        <f>F14*PARAMETROS!$C$23*PARAMETROS!$C$24</f>
        <v/>
      </c>
      <c r="H14" s="14">
        <f>PARAMETROS!$C$22*PARAMETROS!$C$21*E14*PARAMETROS!$C$23*PARAMETROS!$C$24</f>
        <v/>
      </c>
      <c r="I14" s="14">
        <f>IF(C14="",0,PARAMETROS!$C$25/60*(IF(PARAMETROS!$C$27="Real",SUMPRODUCT((BASE!$E$6:$E$205=C14)*BASE!$P$6:$P$205*BASE!$L$6:$L$205*BASE!$N$6:$N$205),SUMPRODUCT((BASE!$E$6:$E$205=C14)*BASE!$P$6:$P$205*BASE!$L$6:$L$205*BASE!$H$6:$H$205))*PARAMETROS!$C$26+SUMPRODUCT((BASE!$E$6:$E$205=C14)*BASE!$P$6:$P$205*BASE!$L$6:$L$205*BASE!$O$6:$O$205)))</f>
        <v/>
      </c>
      <c r="J14" s="15">
        <f>IF(G14&gt;0,I14/G14,0)</f>
        <v/>
      </c>
      <c r="K14" s="16">
        <f>G14-I14</f>
        <v/>
      </c>
      <c r="L14" s="14">
        <f>MAX(0,K14)</f>
        <v/>
      </c>
      <c r="M14" s="14">
        <f>MAX(0,-K14)</f>
        <v/>
      </c>
      <c r="N14" s="14">
        <f>M14</f>
        <v/>
      </c>
      <c r="O14" s="14">
        <f>IF(PARAMETROS!$C$28&gt;0,M14/PARAMETROS!$C$28,0)</f>
        <v/>
      </c>
      <c r="P14" s="15">
        <f>IF(PARAMETROS!$C$8="Nominal",IF(F14&gt;0,I14/F14,0),J14)</f>
        <v/>
      </c>
      <c r="Q14" s="12">
        <f>IF(C14="","",IF(I14=0,"SEM CARGA",IF(OR(G14=0,J14&gt;=PARAMETROS!$C$7),"INSUFICIENTE",IF(J14&gt;=PARAMETROS!$C$6,"ATENÇÃO","OK"))))</f>
        <v/>
      </c>
      <c r="R14" s="15">
        <f>IF(G14+H14&gt;0,I14/(G14+H14),0)</f>
        <v/>
      </c>
      <c r="S14" s="14">
        <f>G14/PARAMETROS!$C$4</f>
        <v/>
      </c>
      <c r="T14" s="14">
        <f>S14*PARAMETROS!$C$5</f>
        <v/>
      </c>
      <c r="U14" s="28">
        <f>IF(I14&gt;0,SUMIF(BASE!$E$6:$E$205,C14,BASE!$L$6:$L$205)*PARAMETROS!$C$25*G14/I14,0)</f>
        <v/>
      </c>
    </row>
    <row r="15">
      <c r="A15" s="11" t="n">
        <v>1</v>
      </c>
      <c r="B15" s="11" t="n">
        <v>10</v>
      </c>
      <c r="C15" s="11">
        <f>IF(MAO_OBRA!A15="","",MAO_OBRA!A15)</f>
        <v/>
      </c>
      <c r="D15" s="11">
        <f>IF(MAO_OBRA!B15="","",MAO_OBRA!B15)</f>
        <v/>
      </c>
      <c r="E15" s="13">
        <f>MAO_OBRA!O15</f>
        <v/>
      </c>
      <c r="F15" s="14">
        <f>PARAMETROS!$C$4*(MAO_OBRA!C15*PARAMETROS!$C$18*PARAMETROS!$F$11+MAO_OBRA!D15*PARAMETROS!$C$19*PARAMETROS!$F$12+MAO_OBRA!E15*PARAMETROS!$C$20*PARAMETROS!$F$13)</f>
        <v/>
      </c>
      <c r="G15" s="14">
        <f>F15*PARAMETROS!$C$23*PARAMETROS!$C$24</f>
        <v/>
      </c>
      <c r="H15" s="14">
        <f>PARAMETROS!$C$22*PARAMETROS!$C$21*E15*PARAMETROS!$C$23*PARAMETROS!$C$24</f>
        <v/>
      </c>
      <c r="I15" s="14">
        <f>IF(C15="",0,PARAMETROS!$C$25/60*(IF(PARAMETROS!$C$27="Real",SUMPRODUCT((BASE!$E$6:$E$205=C15)*BASE!$P$6:$P$205*BASE!$L$6:$L$205*BASE!$N$6:$N$205),SUMPRODUCT((BASE!$E$6:$E$205=C15)*BASE!$P$6:$P$205*BASE!$L$6:$L$205*BASE!$H$6:$H$205))*PARAMETROS!$C$26+SUMPRODUCT((BASE!$E$6:$E$205=C15)*BASE!$P$6:$P$205*BASE!$L$6:$L$205*BASE!$O$6:$O$205)))</f>
        <v/>
      </c>
      <c r="J15" s="15">
        <f>IF(G15&gt;0,I15/G15,0)</f>
        <v/>
      </c>
      <c r="K15" s="16">
        <f>G15-I15</f>
        <v/>
      </c>
      <c r="L15" s="14">
        <f>MAX(0,K15)</f>
        <v/>
      </c>
      <c r="M15" s="14">
        <f>MAX(0,-K15)</f>
        <v/>
      </c>
      <c r="N15" s="14">
        <f>M15</f>
        <v/>
      </c>
      <c r="O15" s="14">
        <f>IF(PARAMETROS!$C$28&gt;0,M15/PARAMETROS!$C$28,0)</f>
        <v/>
      </c>
      <c r="P15" s="15">
        <f>IF(PARAMETROS!$C$8="Nominal",IF(F15&gt;0,I15/F15,0),J15)</f>
        <v/>
      </c>
      <c r="Q15" s="12">
        <f>IF(C15="","",IF(I15=0,"SEM CARGA",IF(OR(G15=0,J15&gt;=PARAMETROS!$C$7),"INSUFICIENTE",IF(J15&gt;=PARAMETROS!$C$6,"ATENÇÃO","OK"))))</f>
        <v/>
      </c>
      <c r="R15" s="15">
        <f>IF(G15+H15&gt;0,I15/(G15+H15),0)</f>
        <v/>
      </c>
      <c r="S15" s="14">
        <f>G15/PARAMETROS!$C$4</f>
        <v/>
      </c>
      <c r="T15" s="14">
        <f>S15*PARAMETROS!$C$5</f>
        <v/>
      </c>
      <c r="U15" s="28">
        <f>IF(I15&gt;0,SUMIF(BASE!$E$6:$E$205,C15,BASE!$L$6:$L$205)*PARAMETROS!$C$25*G15/I15,0)</f>
        <v/>
      </c>
    </row>
    <row r="16">
      <c r="A16" s="11" t="n">
        <v>1</v>
      </c>
      <c r="B16" s="11" t="n">
        <v>11</v>
      </c>
      <c r="C16" s="11">
        <f>IF(MAO_OBRA!A16="","",MAO_OBRA!A16)</f>
        <v/>
      </c>
      <c r="D16" s="11">
        <f>IF(MAO_OBRA!B16="","",MAO_OBRA!B16)</f>
        <v/>
      </c>
      <c r="E16" s="13">
        <f>MAO_OBRA!O16</f>
        <v/>
      </c>
      <c r="F16" s="14">
        <f>PARAMETROS!$C$4*(MAO_OBRA!C16*PARAMETROS!$C$18*PARAMETROS!$F$11+MAO_OBRA!D16*PARAMETROS!$C$19*PARAMETROS!$F$12+MAO_OBRA!E16*PARAMETROS!$C$20*PARAMETROS!$F$13)</f>
        <v/>
      </c>
      <c r="G16" s="14">
        <f>F16*PARAMETROS!$C$23*PARAMETROS!$C$24</f>
        <v/>
      </c>
      <c r="H16" s="14">
        <f>PARAMETROS!$C$22*PARAMETROS!$C$21*E16*PARAMETROS!$C$23*PARAMETROS!$C$24</f>
        <v/>
      </c>
      <c r="I16" s="14">
        <f>IF(C16="",0,PARAMETROS!$C$25/60*(IF(PARAMETROS!$C$27="Real",SUMPRODUCT((BASE!$E$6:$E$205=C16)*BASE!$P$6:$P$205*BASE!$L$6:$L$205*BASE!$N$6:$N$205),SUMPRODUCT((BASE!$E$6:$E$205=C16)*BASE!$P$6:$P$205*BASE!$L$6:$L$205*BASE!$H$6:$H$205))*PARAMETROS!$C$26+SUMPRODUCT((BASE!$E$6:$E$205=C16)*BASE!$P$6:$P$205*BASE!$L$6:$L$205*BASE!$O$6:$O$205)))</f>
        <v/>
      </c>
      <c r="J16" s="15">
        <f>IF(G16&gt;0,I16/G16,0)</f>
        <v/>
      </c>
      <c r="K16" s="16">
        <f>G16-I16</f>
        <v/>
      </c>
      <c r="L16" s="14">
        <f>MAX(0,K16)</f>
        <v/>
      </c>
      <c r="M16" s="14">
        <f>MAX(0,-K16)</f>
        <v/>
      </c>
      <c r="N16" s="14">
        <f>M16</f>
        <v/>
      </c>
      <c r="O16" s="14">
        <f>IF(PARAMETROS!$C$28&gt;0,M16/PARAMETROS!$C$28,0)</f>
        <v/>
      </c>
      <c r="P16" s="15">
        <f>IF(PARAMETROS!$C$8="Nominal",IF(F16&gt;0,I16/F16,0),J16)</f>
        <v/>
      </c>
      <c r="Q16" s="12">
        <f>IF(C16="","",IF(I16=0,"SEM CARGA",IF(OR(G16=0,J16&gt;=PARAMETROS!$C$7),"INSUFICIENTE",IF(J16&gt;=PARAMETROS!$C$6,"ATENÇÃO","OK"))))</f>
        <v/>
      </c>
      <c r="R16" s="15">
        <f>IF(G16+H16&gt;0,I16/(G16+H16),0)</f>
        <v/>
      </c>
      <c r="S16" s="14">
        <f>G16/PARAMETROS!$C$4</f>
        <v/>
      </c>
      <c r="T16" s="14">
        <f>S16*PARAMETROS!$C$5</f>
        <v/>
      </c>
      <c r="U16" s="28">
        <f>IF(I16&gt;0,SUMIF(BASE!$E$6:$E$205,C16,BASE!$L$6:$L$205)*PARAMETROS!$C$25*G16/I16,0)</f>
        <v/>
      </c>
    </row>
    <row r="17">
      <c r="A17" s="11" t="n">
        <v>1</v>
      </c>
      <c r="B17" s="11" t="n">
        <v>12</v>
      </c>
      <c r="C17" s="11">
        <f>IF(MAO_OBRA!A17="","",MAO_OBRA!A17)</f>
        <v/>
      </c>
      <c r="D17" s="11">
        <f>IF(MAO_OBRA!B17="","",MAO_OBRA!B17)</f>
        <v/>
      </c>
      <c r="E17" s="13">
        <f>MAO_OBRA!O17</f>
        <v/>
      </c>
      <c r="F17" s="14">
        <f>PARAMETROS!$C$4*(MAO_OBRA!C17*PARAMETROS!$C$18*PARAMETROS!$F$11+MAO_OBRA!D17*PARAMETROS!$C$19*PARAMETROS!$F$12+MAO_OBRA!E17*PARAMETROS!$C$20*PARAMETROS!$F$13)</f>
        <v/>
      </c>
      <c r="G17" s="14">
        <f>F17*PARAMETROS!$C$23*PARAMETROS!$C$24</f>
        <v/>
      </c>
      <c r="H17" s="14">
        <f>PARAMETROS!$C$22*PARAMETROS!$C$21*E17*PARAMETROS!$C$23*PARAMETROS!$C$24</f>
        <v/>
      </c>
      <c r="I17" s="14">
        <f>IF(C17="",0,PARAMETROS!$C$25/60*(IF(PARAMETROS!$C$27="Real",SUMPRODUCT((BASE!$E$6:$E$205=C17)*BASE!$P$6:$P$205*BASE!$L$6:$L$205*BASE!$N$6:$N$205),SUMPRODUCT((BASE!$E$6:$E$205=C17)*BASE!$P$6:$P$205*BASE!$L$6:$L$205*BASE!$H$6:$H$205))*PARAMETROS!$C$26+SUMPRODUCT((BASE!$E$6:$E$205=C17)*BASE!$P$6:$P$205*BASE!$L$6:$L$205*BASE!$O$6:$O$205)))</f>
        <v/>
      </c>
      <c r="J17" s="15">
        <f>IF(G17&gt;0,I17/G17,0)</f>
        <v/>
      </c>
      <c r="K17" s="16">
        <f>G17-I17</f>
        <v/>
      </c>
      <c r="L17" s="14">
        <f>MAX(0,K17)</f>
        <v/>
      </c>
      <c r="M17" s="14">
        <f>MAX(0,-K17)</f>
        <v/>
      </c>
      <c r="N17" s="14">
        <f>M17</f>
        <v/>
      </c>
      <c r="O17" s="14">
        <f>IF(PARAMETROS!$C$28&gt;0,M17/PARAMETROS!$C$28,0)</f>
        <v/>
      </c>
      <c r="P17" s="15">
        <f>IF(PARAMETROS!$C$8="Nominal",IF(F17&gt;0,I17/F17,0),J17)</f>
        <v/>
      </c>
      <c r="Q17" s="12">
        <f>IF(C17="","",IF(I17=0,"SEM CARGA",IF(OR(G17=0,J17&gt;=PARAMETROS!$C$7),"INSUFICIENTE",IF(J17&gt;=PARAMETROS!$C$6,"ATENÇÃO","OK"))))</f>
        <v/>
      </c>
      <c r="R17" s="15">
        <f>IF(G17+H17&gt;0,I17/(G17+H17),0)</f>
        <v/>
      </c>
      <c r="S17" s="14">
        <f>G17/PARAMETROS!$C$4</f>
        <v/>
      </c>
      <c r="T17" s="14">
        <f>S17*PARAMETROS!$C$5</f>
        <v/>
      </c>
      <c r="U17" s="28">
        <f>IF(I17&gt;0,SUMIF(BASE!$E$6:$E$205,C17,BASE!$L$6:$L$205)*PARAMETROS!$C$25*G17/I17,0)</f>
        <v/>
      </c>
    </row>
    <row r="18">
      <c r="A18" s="11" t="n">
        <v>1</v>
      </c>
      <c r="B18" s="11" t="n">
        <v>13</v>
      </c>
      <c r="C18" s="11">
        <f>IF(MAO_OBRA!A18="","",MAO_OBRA!A18)</f>
        <v/>
      </c>
      <c r="D18" s="11">
        <f>IF(MAO_OBRA!B18="","",MAO_OBRA!B18)</f>
        <v/>
      </c>
      <c r="E18" s="13">
        <f>MAO_OBRA!O18</f>
        <v/>
      </c>
      <c r="F18" s="14">
        <f>PARAMETROS!$C$4*(MAO_OBRA!C18*PARAMETROS!$C$18*PARAMETROS!$F$11+MAO_OBRA!D18*PARAMETROS!$C$19*PARAMETROS!$F$12+MAO_OBRA!E18*PARAMETROS!$C$20*PARAMETROS!$F$13)</f>
        <v/>
      </c>
      <c r="G18" s="14">
        <f>F18*PARAMETROS!$C$23*PARAMETROS!$C$24</f>
        <v/>
      </c>
      <c r="H18" s="14">
        <f>PARAMETROS!$C$22*PARAMETROS!$C$21*E18*PARAMETROS!$C$23*PARAMETROS!$C$24</f>
        <v/>
      </c>
      <c r="I18" s="14">
        <f>IF(C18="",0,PARAMETROS!$C$25/60*(IF(PARAMETROS!$C$27="Real",SUMPRODUCT((BASE!$E$6:$E$205=C18)*BASE!$P$6:$P$205*BASE!$L$6:$L$205*BASE!$N$6:$N$205),SUMPRODUCT((BASE!$E$6:$E$205=C18)*BASE!$P$6:$P$205*BASE!$L$6:$L$205*BASE!$H$6:$H$205))*PARAMETROS!$C$26+SUMPRODUCT((BASE!$E$6:$E$205=C18)*BASE!$P$6:$P$205*BASE!$L$6:$L$205*BASE!$O$6:$O$205)))</f>
        <v/>
      </c>
      <c r="J18" s="15">
        <f>IF(G18&gt;0,I18/G18,0)</f>
        <v/>
      </c>
      <c r="K18" s="16">
        <f>G18-I18</f>
        <v/>
      </c>
      <c r="L18" s="14">
        <f>MAX(0,K18)</f>
        <v/>
      </c>
      <c r="M18" s="14">
        <f>MAX(0,-K18)</f>
        <v/>
      </c>
      <c r="N18" s="14">
        <f>M18</f>
        <v/>
      </c>
      <c r="O18" s="14">
        <f>IF(PARAMETROS!$C$28&gt;0,M18/PARAMETROS!$C$28,0)</f>
        <v/>
      </c>
      <c r="P18" s="15">
        <f>IF(PARAMETROS!$C$8="Nominal",IF(F18&gt;0,I18/F18,0),J18)</f>
        <v/>
      </c>
      <c r="Q18" s="12">
        <f>IF(C18="","",IF(I18=0,"SEM CARGA",IF(OR(G18=0,J18&gt;=PARAMETROS!$C$7),"INSUFICIENTE",IF(J18&gt;=PARAMETROS!$C$6,"ATENÇÃO","OK"))))</f>
        <v/>
      </c>
      <c r="R18" s="15">
        <f>IF(G18+H18&gt;0,I18/(G18+H18),0)</f>
        <v/>
      </c>
      <c r="S18" s="14">
        <f>G18/PARAMETROS!$C$4</f>
        <v/>
      </c>
      <c r="T18" s="14">
        <f>S18*PARAMETROS!$C$5</f>
        <v/>
      </c>
      <c r="U18" s="28">
        <f>IF(I18&gt;0,SUMIF(BASE!$E$6:$E$205,C18,BASE!$L$6:$L$205)*PARAMETROS!$C$25*G18/I18,0)</f>
        <v/>
      </c>
    </row>
    <row r="19">
      <c r="A19" s="11" t="n">
        <v>1</v>
      </c>
      <c r="B19" s="11" t="n">
        <v>14</v>
      </c>
      <c r="C19" s="11">
        <f>IF(MAO_OBRA!A19="","",MAO_OBRA!A19)</f>
        <v/>
      </c>
      <c r="D19" s="11">
        <f>IF(MAO_OBRA!B19="","",MAO_OBRA!B19)</f>
        <v/>
      </c>
      <c r="E19" s="13">
        <f>MAO_OBRA!O19</f>
        <v/>
      </c>
      <c r="F19" s="14">
        <f>PARAMETROS!$C$4*(MAO_OBRA!C19*PARAMETROS!$C$18*PARAMETROS!$F$11+MAO_OBRA!D19*PARAMETROS!$C$19*PARAMETROS!$F$12+MAO_OBRA!E19*PARAMETROS!$C$20*PARAMETROS!$F$13)</f>
        <v/>
      </c>
      <c r="G19" s="14">
        <f>F19*PARAMETROS!$C$23*PARAMETROS!$C$24</f>
        <v/>
      </c>
      <c r="H19" s="14">
        <f>PARAMETROS!$C$22*PARAMETROS!$C$21*E19*PARAMETROS!$C$23*PARAMETROS!$C$24</f>
        <v/>
      </c>
      <c r="I19" s="14">
        <f>IF(C19="",0,PARAMETROS!$C$25/60*(IF(PARAMETROS!$C$27="Real",SUMPRODUCT((BASE!$E$6:$E$205=C19)*BASE!$P$6:$P$205*BASE!$L$6:$L$205*BASE!$N$6:$N$205),SUMPRODUCT((BASE!$E$6:$E$205=C19)*BASE!$P$6:$P$205*BASE!$L$6:$L$205*BASE!$H$6:$H$205))*PARAMETROS!$C$26+SUMPRODUCT((BASE!$E$6:$E$205=C19)*BASE!$P$6:$P$205*BASE!$L$6:$L$205*BASE!$O$6:$O$205)))</f>
        <v/>
      </c>
      <c r="J19" s="15">
        <f>IF(G19&gt;0,I19/G19,0)</f>
        <v/>
      </c>
      <c r="K19" s="16">
        <f>G19-I19</f>
        <v/>
      </c>
      <c r="L19" s="14">
        <f>MAX(0,K19)</f>
        <v/>
      </c>
      <c r="M19" s="14">
        <f>MAX(0,-K19)</f>
        <v/>
      </c>
      <c r="N19" s="14">
        <f>M19</f>
        <v/>
      </c>
      <c r="O19" s="14">
        <f>IF(PARAMETROS!$C$28&gt;0,M19/PARAMETROS!$C$28,0)</f>
        <v/>
      </c>
      <c r="P19" s="15">
        <f>IF(PARAMETROS!$C$8="Nominal",IF(F19&gt;0,I19/F19,0),J19)</f>
        <v/>
      </c>
      <c r="Q19" s="12">
        <f>IF(C19="","",IF(I19=0,"SEM CARGA",IF(OR(G19=0,J19&gt;=PARAMETROS!$C$7),"INSUFICIENTE",IF(J19&gt;=PARAMETROS!$C$6,"ATENÇÃO","OK"))))</f>
        <v/>
      </c>
      <c r="R19" s="15">
        <f>IF(G19+H19&gt;0,I19/(G19+H19),0)</f>
        <v/>
      </c>
      <c r="S19" s="14">
        <f>G19/PARAMETROS!$C$4</f>
        <v/>
      </c>
      <c r="T19" s="14">
        <f>S19*PARAMETROS!$C$5</f>
        <v/>
      </c>
      <c r="U19" s="28">
        <f>IF(I19&gt;0,SUMIF(BASE!$E$6:$E$205,C19,BASE!$L$6:$L$205)*PARAMETROS!$C$25*G19/I19,0)</f>
        <v/>
      </c>
    </row>
    <row r="20">
      <c r="A20" s="11" t="n">
        <v>1</v>
      </c>
      <c r="B20" s="11" t="n">
        <v>15</v>
      </c>
      <c r="C20" s="11">
        <f>IF(MAO_OBRA!A20="","",MAO_OBRA!A20)</f>
        <v/>
      </c>
      <c r="D20" s="11">
        <f>IF(MAO_OBRA!B20="","",MAO_OBRA!B20)</f>
        <v/>
      </c>
      <c r="E20" s="13">
        <f>MAO_OBRA!O20</f>
        <v/>
      </c>
      <c r="F20" s="14">
        <f>PARAMETROS!$C$4*(MAO_OBRA!C20*PARAMETROS!$C$18*PARAMETROS!$F$11+MAO_OBRA!D20*PARAMETROS!$C$19*PARAMETROS!$F$12+MAO_OBRA!E20*PARAMETROS!$C$20*PARAMETROS!$F$13)</f>
        <v/>
      </c>
      <c r="G20" s="14">
        <f>F20*PARAMETROS!$C$23*PARAMETROS!$C$24</f>
        <v/>
      </c>
      <c r="H20" s="14">
        <f>PARAMETROS!$C$22*PARAMETROS!$C$21*E20*PARAMETROS!$C$23*PARAMETROS!$C$24</f>
        <v/>
      </c>
      <c r="I20" s="14">
        <f>IF(C20="",0,PARAMETROS!$C$25/60*(IF(PARAMETROS!$C$27="Real",SUMPRODUCT((BASE!$E$6:$E$205=C20)*BASE!$P$6:$P$205*BASE!$L$6:$L$205*BASE!$N$6:$N$205),SUMPRODUCT((BASE!$E$6:$E$205=C20)*BASE!$P$6:$P$205*BASE!$L$6:$L$205*BASE!$H$6:$H$205))*PARAMETROS!$C$26+SUMPRODUCT((BASE!$E$6:$E$205=C20)*BASE!$P$6:$P$205*BASE!$L$6:$L$205*BASE!$O$6:$O$205)))</f>
        <v/>
      </c>
      <c r="J20" s="15">
        <f>IF(G20&gt;0,I20/G20,0)</f>
        <v/>
      </c>
      <c r="K20" s="16">
        <f>G20-I20</f>
        <v/>
      </c>
      <c r="L20" s="14">
        <f>MAX(0,K20)</f>
        <v/>
      </c>
      <c r="M20" s="14">
        <f>MAX(0,-K20)</f>
        <v/>
      </c>
      <c r="N20" s="14">
        <f>M20</f>
        <v/>
      </c>
      <c r="O20" s="14">
        <f>IF(PARAMETROS!$C$28&gt;0,M20/PARAMETROS!$C$28,0)</f>
        <v/>
      </c>
      <c r="P20" s="15">
        <f>IF(PARAMETROS!$C$8="Nominal",IF(F20&gt;0,I20/F20,0),J20)</f>
        <v/>
      </c>
      <c r="Q20" s="12">
        <f>IF(C20="","",IF(I20=0,"SEM CARGA",IF(OR(G20=0,J20&gt;=PARAMETROS!$C$7),"INSUFICIENTE",IF(J20&gt;=PARAMETROS!$C$6,"ATENÇÃO","OK"))))</f>
        <v/>
      </c>
      <c r="R20" s="15">
        <f>IF(G20+H20&gt;0,I20/(G20+H20),0)</f>
        <v/>
      </c>
      <c r="S20" s="14">
        <f>G20/PARAMETROS!$C$4</f>
        <v/>
      </c>
      <c r="T20" s="14">
        <f>S20*PARAMETROS!$C$5</f>
        <v/>
      </c>
      <c r="U20" s="28">
        <f>IF(I20&gt;0,SUMIF(BASE!$E$6:$E$205,C20,BASE!$L$6:$L$205)*PARAMETROS!$C$25*G20/I20,0)</f>
        <v/>
      </c>
    </row>
    <row r="21">
      <c r="A21" s="11" t="n">
        <v>2</v>
      </c>
      <c r="B21" s="11" t="n">
        <v>1</v>
      </c>
      <c r="C21" s="11">
        <f>IF(MAO_OBRA!A6="","",MAO_OBRA!A6)</f>
        <v/>
      </c>
      <c r="D21" s="11">
        <f>IF(MAO_OBRA!B6="","",MAO_OBRA!B6)</f>
        <v/>
      </c>
      <c r="E21" s="13">
        <f>MAO_OBRA!P6</f>
        <v/>
      </c>
      <c r="F21" s="14">
        <f>PARAMETROS!$C$4*(MAO_OBRA!F6*PARAMETROS!$D$18*PARAMETROS!$F$11+MAO_OBRA!G6*PARAMETROS!$D$19*PARAMETROS!$F$12+MAO_OBRA!H6*PARAMETROS!$D$20*PARAMETROS!$F$13)</f>
        <v/>
      </c>
      <c r="G21" s="14">
        <f>F21*PARAMETROS!$D$23*PARAMETROS!$D$24</f>
        <v/>
      </c>
      <c r="H21" s="14">
        <f>PARAMETROS!$D$22*PARAMETROS!$D$21*E21*PARAMETROS!$D$23*PARAMETROS!$D$24</f>
        <v/>
      </c>
      <c r="I21" s="14">
        <f>IF(C21="",0,PARAMETROS!$D$25/60*(IF(PARAMETROS!$D$27="Real",SUMPRODUCT((BASE!$E$6:$E$205=C21)*BASE!$P$6:$P$205*BASE!$L$6:$L$205*BASE!$N$6:$N$205),SUMPRODUCT((BASE!$E$6:$E$205=C21)*BASE!$P$6:$P$205*BASE!$L$6:$L$205*BASE!$H$6:$H$205))*PARAMETROS!$D$26+SUMPRODUCT((BASE!$E$6:$E$205=C21)*BASE!$P$6:$P$205*BASE!$L$6:$L$205*BASE!$O$6:$O$205)))</f>
        <v/>
      </c>
      <c r="J21" s="15">
        <f>IF(G21&gt;0,I21/G21,0)</f>
        <v/>
      </c>
      <c r="K21" s="16">
        <f>G21-I21</f>
        <v/>
      </c>
      <c r="L21" s="14">
        <f>MAX(0,K21)</f>
        <v/>
      </c>
      <c r="M21" s="14">
        <f>MAX(0,-K21)</f>
        <v/>
      </c>
      <c r="N21" s="14">
        <f>M21</f>
        <v/>
      </c>
      <c r="O21" s="14">
        <f>IF(PARAMETROS!$D$28&gt;0,M21/PARAMETROS!$D$28,0)</f>
        <v/>
      </c>
      <c r="P21" s="15">
        <f>IF(PARAMETROS!$C$8="Nominal",IF(F21&gt;0,I21/F21,0),J21)</f>
        <v/>
      </c>
      <c r="Q21" s="12">
        <f>IF(C21="","",IF(I21=0,"SEM CARGA",IF(OR(G21=0,J21&gt;=PARAMETROS!$C$7),"INSUFICIENTE",IF(J21&gt;=PARAMETROS!$C$6,"ATENÇÃO","OK"))))</f>
        <v/>
      </c>
      <c r="R21" s="15">
        <f>IF(G21+H21&gt;0,I21/(G21+H21),0)</f>
        <v/>
      </c>
      <c r="S21" s="14">
        <f>G21/PARAMETROS!$C$4</f>
        <v/>
      </c>
      <c r="T21" s="14">
        <f>S21*PARAMETROS!$C$5</f>
        <v/>
      </c>
      <c r="U21" s="28">
        <f>IF(I21&gt;0,SUMIF(BASE!$E$6:$E$205,C21,BASE!$L$6:$L$205)*PARAMETROS!$D$25*G21/I21,0)</f>
        <v/>
      </c>
    </row>
    <row r="22">
      <c r="A22" s="11" t="n">
        <v>2</v>
      </c>
      <c r="B22" s="11" t="n">
        <v>2</v>
      </c>
      <c r="C22" s="11">
        <f>IF(MAO_OBRA!A7="","",MAO_OBRA!A7)</f>
        <v/>
      </c>
      <c r="D22" s="11">
        <f>IF(MAO_OBRA!B7="","",MAO_OBRA!B7)</f>
        <v/>
      </c>
      <c r="E22" s="13">
        <f>MAO_OBRA!P7</f>
        <v/>
      </c>
      <c r="F22" s="14">
        <f>PARAMETROS!$C$4*(MAO_OBRA!F7*PARAMETROS!$D$18*PARAMETROS!$F$11+MAO_OBRA!G7*PARAMETROS!$D$19*PARAMETROS!$F$12+MAO_OBRA!H7*PARAMETROS!$D$20*PARAMETROS!$F$13)</f>
        <v/>
      </c>
      <c r="G22" s="14">
        <f>F22*PARAMETROS!$D$23*PARAMETROS!$D$24</f>
        <v/>
      </c>
      <c r="H22" s="14">
        <f>PARAMETROS!$D$22*PARAMETROS!$D$21*E22*PARAMETROS!$D$23*PARAMETROS!$D$24</f>
        <v/>
      </c>
      <c r="I22" s="14">
        <f>IF(C22="",0,PARAMETROS!$D$25/60*(IF(PARAMETROS!$D$27="Real",SUMPRODUCT((BASE!$E$6:$E$205=C22)*BASE!$P$6:$P$205*BASE!$L$6:$L$205*BASE!$N$6:$N$205),SUMPRODUCT((BASE!$E$6:$E$205=C22)*BASE!$P$6:$P$205*BASE!$L$6:$L$205*BASE!$H$6:$H$205))*PARAMETROS!$D$26+SUMPRODUCT((BASE!$E$6:$E$205=C22)*BASE!$P$6:$P$205*BASE!$L$6:$L$205*BASE!$O$6:$O$205)))</f>
        <v/>
      </c>
      <c r="J22" s="15">
        <f>IF(G22&gt;0,I22/G22,0)</f>
        <v/>
      </c>
      <c r="K22" s="16">
        <f>G22-I22</f>
        <v/>
      </c>
      <c r="L22" s="14">
        <f>MAX(0,K22)</f>
        <v/>
      </c>
      <c r="M22" s="14">
        <f>MAX(0,-K22)</f>
        <v/>
      </c>
      <c r="N22" s="14">
        <f>M22</f>
        <v/>
      </c>
      <c r="O22" s="14">
        <f>IF(PARAMETROS!$D$28&gt;0,M22/PARAMETROS!$D$28,0)</f>
        <v/>
      </c>
      <c r="P22" s="15">
        <f>IF(PARAMETROS!$C$8="Nominal",IF(F22&gt;0,I22/F22,0),J22)</f>
        <v/>
      </c>
      <c r="Q22" s="12">
        <f>IF(C22="","",IF(I22=0,"SEM CARGA",IF(OR(G22=0,J22&gt;=PARAMETROS!$C$7),"INSUFICIENTE",IF(J22&gt;=PARAMETROS!$C$6,"ATENÇÃO","OK"))))</f>
        <v/>
      </c>
      <c r="R22" s="15">
        <f>IF(G22+H22&gt;0,I22/(G22+H22),0)</f>
        <v/>
      </c>
      <c r="S22" s="14">
        <f>G22/PARAMETROS!$C$4</f>
        <v/>
      </c>
      <c r="T22" s="14">
        <f>S22*PARAMETROS!$C$5</f>
        <v/>
      </c>
      <c r="U22" s="28">
        <f>IF(I22&gt;0,SUMIF(BASE!$E$6:$E$205,C22,BASE!$L$6:$L$205)*PARAMETROS!$D$25*G22/I22,0)</f>
        <v/>
      </c>
    </row>
    <row r="23">
      <c r="A23" s="11" t="n">
        <v>2</v>
      </c>
      <c r="B23" s="11" t="n">
        <v>3</v>
      </c>
      <c r="C23" s="11">
        <f>IF(MAO_OBRA!A8="","",MAO_OBRA!A8)</f>
        <v/>
      </c>
      <c r="D23" s="11">
        <f>IF(MAO_OBRA!B8="","",MAO_OBRA!B8)</f>
        <v/>
      </c>
      <c r="E23" s="13">
        <f>MAO_OBRA!P8</f>
        <v/>
      </c>
      <c r="F23" s="14">
        <f>PARAMETROS!$C$4*(MAO_OBRA!F8*PARAMETROS!$D$18*PARAMETROS!$F$11+MAO_OBRA!G8*PARAMETROS!$D$19*PARAMETROS!$F$12+MAO_OBRA!H8*PARAMETROS!$D$20*PARAMETROS!$F$13)</f>
        <v/>
      </c>
      <c r="G23" s="14">
        <f>F23*PARAMETROS!$D$23*PARAMETROS!$D$24</f>
        <v/>
      </c>
      <c r="H23" s="14">
        <f>PARAMETROS!$D$22*PARAMETROS!$D$21*E23*PARAMETROS!$D$23*PARAMETROS!$D$24</f>
        <v/>
      </c>
      <c r="I23" s="14">
        <f>IF(C23="",0,PARAMETROS!$D$25/60*(IF(PARAMETROS!$D$27="Real",SUMPRODUCT((BASE!$E$6:$E$205=C23)*BASE!$P$6:$P$205*BASE!$L$6:$L$205*BASE!$N$6:$N$205),SUMPRODUCT((BASE!$E$6:$E$205=C23)*BASE!$P$6:$P$205*BASE!$L$6:$L$205*BASE!$H$6:$H$205))*PARAMETROS!$D$26+SUMPRODUCT((BASE!$E$6:$E$205=C23)*BASE!$P$6:$P$205*BASE!$L$6:$L$205*BASE!$O$6:$O$205)))</f>
        <v/>
      </c>
      <c r="J23" s="15">
        <f>IF(G23&gt;0,I23/G23,0)</f>
        <v/>
      </c>
      <c r="K23" s="16">
        <f>G23-I23</f>
        <v/>
      </c>
      <c r="L23" s="14">
        <f>MAX(0,K23)</f>
        <v/>
      </c>
      <c r="M23" s="14">
        <f>MAX(0,-K23)</f>
        <v/>
      </c>
      <c r="N23" s="14">
        <f>M23</f>
        <v/>
      </c>
      <c r="O23" s="14">
        <f>IF(PARAMETROS!$D$28&gt;0,M23/PARAMETROS!$D$28,0)</f>
        <v/>
      </c>
      <c r="P23" s="15">
        <f>IF(PARAMETROS!$C$8="Nominal",IF(F23&gt;0,I23/F23,0),J23)</f>
        <v/>
      </c>
      <c r="Q23" s="12">
        <f>IF(C23="","",IF(I23=0,"SEM CARGA",IF(OR(G23=0,J23&gt;=PARAMETROS!$C$7),"INSUFICIENTE",IF(J23&gt;=PARAMETROS!$C$6,"ATENÇÃO","OK"))))</f>
        <v/>
      </c>
      <c r="R23" s="15">
        <f>IF(G23+H23&gt;0,I23/(G23+H23),0)</f>
        <v/>
      </c>
      <c r="S23" s="14">
        <f>G23/PARAMETROS!$C$4</f>
        <v/>
      </c>
      <c r="T23" s="14">
        <f>S23*PARAMETROS!$C$5</f>
        <v/>
      </c>
      <c r="U23" s="28">
        <f>IF(I23&gt;0,SUMIF(BASE!$E$6:$E$205,C23,BASE!$L$6:$L$205)*PARAMETROS!$D$25*G23/I23,0)</f>
        <v/>
      </c>
    </row>
    <row r="24">
      <c r="A24" s="11" t="n">
        <v>2</v>
      </c>
      <c r="B24" s="11" t="n">
        <v>4</v>
      </c>
      <c r="C24" s="11">
        <f>IF(MAO_OBRA!A9="","",MAO_OBRA!A9)</f>
        <v/>
      </c>
      <c r="D24" s="11">
        <f>IF(MAO_OBRA!B9="","",MAO_OBRA!B9)</f>
        <v/>
      </c>
      <c r="E24" s="13">
        <f>MAO_OBRA!P9</f>
        <v/>
      </c>
      <c r="F24" s="14">
        <f>PARAMETROS!$C$4*(MAO_OBRA!F9*PARAMETROS!$D$18*PARAMETROS!$F$11+MAO_OBRA!G9*PARAMETROS!$D$19*PARAMETROS!$F$12+MAO_OBRA!H9*PARAMETROS!$D$20*PARAMETROS!$F$13)</f>
        <v/>
      </c>
      <c r="G24" s="14">
        <f>F24*PARAMETROS!$D$23*PARAMETROS!$D$24</f>
        <v/>
      </c>
      <c r="H24" s="14">
        <f>PARAMETROS!$D$22*PARAMETROS!$D$21*E24*PARAMETROS!$D$23*PARAMETROS!$D$24</f>
        <v/>
      </c>
      <c r="I24" s="14">
        <f>IF(C24="",0,PARAMETROS!$D$25/60*(IF(PARAMETROS!$D$27="Real",SUMPRODUCT((BASE!$E$6:$E$205=C24)*BASE!$P$6:$P$205*BASE!$L$6:$L$205*BASE!$N$6:$N$205),SUMPRODUCT((BASE!$E$6:$E$205=C24)*BASE!$P$6:$P$205*BASE!$L$6:$L$205*BASE!$H$6:$H$205))*PARAMETROS!$D$26+SUMPRODUCT((BASE!$E$6:$E$205=C24)*BASE!$P$6:$P$205*BASE!$L$6:$L$205*BASE!$O$6:$O$205)))</f>
        <v/>
      </c>
      <c r="J24" s="15">
        <f>IF(G24&gt;0,I24/G24,0)</f>
        <v/>
      </c>
      <c r="K24" s="16">
        <f>G24-I24</f>
        <v/>
      </c>
      <c r="L24" s="14">
        <f>MAX(0,K24)</f>
        <v/>
      </c>
      <c r="M24" s="14">
        <f>MAX(0,-K24)</f>
        <v/>
      </c>
      <c r="N24" s="14">
        <f>M24</f>
        <v/>
      </c>
      <c r="O24" s="14">
        <f>IF(PARAMETROS!$D$28&gt;0,M24/PARAMETROS!$D$28,0)</f>
        <v/>
      </c>
      <c r="P24" s="15">
        <f>IF(PARAMETROS!$C$8="Nominal",IF(F24&gt;0,I24/F24,0),J24)</f>
        <v/>
      </c>
      <c r="Q24" s="12">
        <f>IF(C24="","",IF(I24=0,"SEM CARGA",IF(OR(G24=0,J24&gt;=PARAMETROS!$C$7),"INSUFICIENTE",IF(J24&gt;=PARAMETROS!$C$6,"ATENÇÃO","OK"))))</f>
        <v/>
      </c>
      <c r="R24" s="15">
        <f>IF(G24+H24&gt;0,I24/(G24+H24),0)</f>
        <v/>
      </c>
      <c r="S24" s="14">
        <f>G24/PARAMETROS!$C$4</f>
        <v/>
      </c>
      <c r="T24" s="14">
        <f>S24*PARAMETROS!$C$5</f>
        <v/>
      </c>
      <c r="U24" s="28">
        <f>IF(I24&gt;0,SUMIF(BASE!$E$6:$E$205,C24,BASE!$L$6:$L$205)*PARAMETROS!$D$25*G24/I24,0)</f>
        <v/>
      </c>
    </row>
    <row r="25">
      <c r="A25" s="11" t="n">
        <v>2</v>
      </c>
      <c r="B25" s="11" t="n">
        <v>5</v>
      </c>
      <c r="C25" s="11">
        <f>IF(MAO_OBRA!A10="","",MAO_OBRA!A10)</f>
        <v/>
      </c>
      <c r="D25" s="11">
        <f>IF(MAO_OBRA!B10="","",MAO_OBRA!B10)</f>
        <v/>
      </c>
      <c r="E25" s="13">
        <f>MAO_OBRA!P10</f>
        <v/>
      </c>
      <c r="F25" s="14">
        <f>PARAMETROS!$C$4*(MAO_OBRA!F10*PARAMETROS!$D$18*PARAMETROS!$F$11+MAO_OBRA!G10*PARAMETROS!$D$19*PARAMETROS!$F$12+MAO_OBRA!H10*PARAMETROS!$D$20*PARAMETROS!$F$13)</f>
        <v/>
      </c>
      <c r="G25" s="14">
        <f>F25*PARAMETROS!$D$23*PARAMETROS!$D$24</f>
        <v/>
      </c>
      <c r="H25" s="14">
        <f>PARAMETROS!$D$22*PARAMETROS!$D$21*E25*PARAMETROS!$D$23*PARAMETROS!$D$24</f>
        <v/>
      </c>
      <c r="I25" s="14">
        <f>IF(C25="",0,PARAMETROS!$D$25/60*(IF(PARAMETROS!$D$27="Real",SUMPRODUCT((BASE!$E$6:$E$205=C25)*BASE!$P$6:$P$205*BASE!$L$6:$L$205*BASE!$N$6:$N$205),SUMPRODUCT((BASE!$E$6:$E$205=C25)*BASE!$P$6:$P$205*BASE!$L$6:$L$205*BASE!$H$6:$H$205))*PARAMETROS!$D$26+SUMPRODUCT((BASE!$E$6:$E$205=C25)*BASE!$P$6:$P$205*BASE!$L$6:$L$205*BASE!$O$6:$O$205)))</f>
        <v/>
      </c>
      <c r="J25" s="15">
        <f>IF(G25&gt;0,I25/G25,0)</f>
        <v/>
      </c>
      <c r="K25" s="16">
        <f>G25-I25</f>
        <v/>
      </c>
      <c r="L25" s="14">
        <f>MAX(0,K25)</f>
        <v/>
      </c>
      <c r="M25" s="14">
        <f>MAX(0,-K25)</f>
        <v/>
      </c>
      <c r="N25" s="14">
        <f>M25</f>
        <v/>
      </c>
      <c r="O25" s="14">
        <f>IF(PARAMETROS!$D$28&gt;0,M25/PARAMETROS!$D$28,0)</f>
        <v/>
      </c>
      <c r="P25" s="15">
        <f>IF(PARAMETROS!$C$8="Nominal",IF(F25&gt;0,I25/F25,0),J25)</f>
        <v/>
      </c>
      <c r="Q25" s="12">
        <f>IF(C25="","",IF(I25=0,"SEM CARGA",IF(OR(G25=0,J25&gt;=PARAMETROS!$C$7),"INSUFICIENTE",IF(J25&gt;=PARAMETROS!$C$6,"ATENÇÃO","OK"))))</f>
        <v/>
      </c>
      <c r="R25" s="15">
        <f>IF(G25+H25&gt;0,I25/(G25+H25),0)</f>
        <v/>
      </c>
      <c r="S25" s="14">
        <f>G25/PARAMETROS!$C$4</f>
        <v/>
      </c>
      <c r="T25" s="14">
        <f>S25*PARAMETROS!$C$5</f>
        <v/>
      </c>
      <c r="U25" s="28">
        <f>IF(I25&gt;0,SUMIF(BASE!$E$6:$E$205,C25,BASE!$L$6:$L$205)*PARAMETROS!$D$25*G25/I25,0)</f>
        <v/>
      </c>
    </row>
    <row r="26">
      <c r="A26" s="11" t="n">
        <v>2</v>
      </c>
      <c r="B26" s="11" t="n">
        <v>6</v>
      </c>
      <c r="C26" s="11">
        <f>IF(MAO_OBRA!A11="","",MAO_OBRA!A11)</f>
        <v/>
      </c>
      <c r="D26" s="11">
        <f>IF(MAO_OBRA!B11="","",MAO_OBRA!B11)</f>
        <v/>
      </c>
      <c r="E26" s="13">
        <f>MAO_OBRA!P11</f>
        <v/>
      </c>
      <c r="F26" s="14">
        <f>PARAMETROS!$C$4*(MAO_OBRA!F11*PARAMETROS!$D$18*PARAMETROS!$F$11+MAO_OBRA!G11*PARAMETROS!$D$19*PARAMETROS!$F$12+MAO_OBRA!H11*PARAMETROS!$D$20*PARAMETROS!$F$13)</f>
        <v/>
      </c>
      <c r="G26" s="14">
        <f>F26*PARAMETROS!$D$23*PARAMETROS!$D$24</f>
        <v/>
      </c>
      <c r="H26" s="14">
        <f>PARAMETROS!$D$22*PARAMETROS!$D$21*E26*PARAMETROS!$D$23*PARAMETROS!$D$24</f>
        <v/>
      </c>
      <c r="I26" s="14">
        <f>IF(C26="",0,PARAMETROS!$D$25/60*(IF(PARAMETROS!$D$27="Real",SUMPRODUCT((BASE!$E$6:$E$205=C26)*BASE!$P$6:$P$205*BASE!$L$6:$L$205*BASE!$N$6:$N$205),SUMPRODUCT((BASE!$E$6:$E$205=C26)*BASE!$P$6:$P$205*BASE!$L$6:$L$205*BASE!$H$6:$H$205))*PARAMETROS!$D$26+SUMPRODUCT((BASE!$E$6:$E$205=C26)*BASE!$P$6:$P$205*BASE!$L$6:$L$205*BASE!$O$6:$O$205)))</f>
        <v/>
      </c>
      <c r="J26" s="15">
        <f>IF(G26&gt;0,I26/G26,0)</f>
        <v/>
      </c>
      <c r="K26" s="16">
        <f>G26-I26</f>
        <v/>
      </c>
      <c r="L26" s="14">
        <f>MAX(0,K26)</f>
        <v/>
      </c>
      <c r="M26" s="14">
        <f>MAX(0,-K26)</f>
        <v/>
      </c>
      <c r="N26" s="14">
        <f>M26</f>
        <v/>
      </c>
      <c r="O26" s="14">
        <f>IF(PARAMETROS!$D$28&gt;0,M26/PARAMETROS!$D$28,0)</f>
        <v/>
      </c>
      <c r="P26" s="15">
        <f>IF(PARAMETROS!$C$8="Nominal",IF(F26&gt;0,I26/F26,0),J26)</f>
        <v/>
      </c>
      <c r="Q26" s="12">
        <f>IF(C26="","",IF(I26=0,"SEM CARGA",IF(OR(G26=0,J26&gt;=PARAMETROS!$C$7),"INSUFICIENTE",IF(J26&gt;=PARAMETROS!$C$6,"ATENÇÃO","OK"))))</f>
        <v/>
      </c>
      <c r="R26" s="15">
        <f>IF(G26+H26&gt;0,I26/(G26+H26),0)</f>
        <v/>
      </c>
      <c r="S26" s="14">
        <f>G26/PARAMETROS!$C$4</f>
        <v/>
      </c>
      <c r="T26" s="14">
        <f>S26*PARAMETROS!$C$5</f>
        <v/>
      </c>
      <c r="U26" s="28">
        <f>IF(I26&gt;0,SUMIF(BASE!$E$6:$E$205,C26,BASE!$L$6:$L$205)*PARAMETROS!$D$25*G26/I26,0)</f>
        <v/>
      </c>
    </row>
    <row r="27">
      <c r="A27" s="11" t="n">
        <v>2</v>
      </c>
      <c r="B27" s="11" t="n">
        <v>7</v>
      </c>
      <c r="C27" s="11">
        <f>IF(MAO_OBRA!A12="","",MAO_OBRA!A12)</f>
        <v/>
      </c>
      <c r="D27" s="11">
        <f>IF(MAO_OBRA!B12="","",MAO_OBRA!B12)</f>
        <v/>
      </c>
      <c r="E27" s="13">
        <f>MAO_OBRA!P12</f>
        <v/>
      </c>
      <c r="F27" s="14">
        <f>PARAMETROS!$C$4*(MAO_OBRA!F12*PARAMETROS!$D$18*PARAMETROS!$F$11+MAO_OBRA!G12*PARAMETROS!$D$19*PARAMETROS!$F$12+MAO_OBRA!H12*PARAMETROS!$D$20*PARAMETROS!$F$13)</f>
        <v/>
      </c>
      <c r="G27" s="14">
        <f>F27*PARAMETROS!$D$23*PARAMETROS!$D$24</f>
        <v/>
      </c>
      <c r="H27" s="14">
        <f>PARAMETROS!$D$22*PARAMETROS!$D$21*E27*PARAMETROS!$D$23*PARAMETROS!$D$24</f>
        <v/>
      </c>
      <c r="I27" s="14">
        <f>IF(C27="",0,PARAMETROS!$D$25/60*(IF(PARAMETROS!$D$27="Real",SUMPRODUCT((BASE!$E$6:$E$205=C27)*BASE!$P$6:$P$205*BASE!$L$6:$L$205*BASE!$N$6:$N$205),SUMPRODUCT((BASE!$E$6:$E$205=C27)*BASE!$P$6:$P$205*BASE!$L$6:$L$205*BASE!$H$6:$H$205))*PARAMETROS!$D$26+SUMPRODUCT((BASE!$E$6:$E$205=C27)*BASE!$P$6:$P$205*BASE!$L$6:$L$205*BASE!$O$6:$O$205)))</f>
        <v/>
      </c>
      <c r="J27" s="15">
        <f>IF(G27&gt;0,I27/G27,0)</f>
        <v/>
      </c>
      <c r="K27" s="16">
        <f>G27-I27</f>
        <v/>
      </c>
      <c r="L27" s="14">
        <f>MAX(0,K27)</f>
        <v/>
      </c>
      <c r="M27" s="14">
        <f>MAX(0,-K27)</f>
        <v/>
      </c>
      <c r="N27" s="14">
        <f>M27</f>
        <v/>
      </c>
      <c r="O27" s="14">
        <f>IF(PARAMETROS!$D$28&gt;0,M27/PARAMETROS!$D$28,0)</f>
        <v/>
      </c>
      <c r="P27" s="15">
        <f>IF(PARAMETROS!$C$8="Nominal",IF(F27&gt;0,I27/F27,0),J27)</f>
        <v/>
      </c>
      <c r="Q27" s="12">
        <f>IF(C27="","",IF(I27=0,"SEM CARGA",IF(OR(G27=0,J27&gt;=PARAMETROS!$C$7),"INSUFICIENTE",IF(J27&gt;=PARAMETROS!$C$6,"ATENÇÃO","OK"))))</f>
        <v/>
      </c>
      <c r="R27" s="15">
        <f>IF(G27+H27&gt;0,I27/(G27+H27),0)</f>
        <v/>
      </c>
      <c r="S27" s="14">
        <f>G27/PARAMETROS!$C$4</f>
        <v/>
      </c>
      <c r="T27" s="14">
        <f>S27*PARAMETROS!$C$5</f>
        <v/>
      </c>
      <c r="U27" s="28">
        <f>IF(I27&gt;0,SUMIF(BASE!$E$6:$E$205,C27,BASE!$L$6:$L$205)*PARAMETROS!$D$25*G27/I27,0)</f>
        <v/>
      </c>
    </row>
    <row r="28">
      <c r="A28" s="11" t="n">
        <v>2</v>
      </c>
      <c r="B28" s="11" t="n">
        <v>8</v>
      </c>
      <c r="C28" s="11">
        <f>IF(MAO_OBRA!A13="","",MAO_OBRA!A13)</f>
        <v/>
      </c>
      <c r="D28" s="11">
        <f>IF(MAO_OBRA!B13="","",MAO_OBRA!B13)</f>
        <v/>
      </c>
      <c r="E28" s="13">
        <f>MAO_OBRA!P13</f>
        <v/>
      </c>
      <c r="F28" s="14">
        <f>PARAMETROS!$C$4*(MAO_OBRA!F13*PARAMETROS!$D$18*PARAMETROS!$F$11+MAO_OBRA!G13*PARAMETROS!$D$19*PARAMETROS!$F$12+MAO_OBRA!H13*PARAMETROS!$D$20*PARAMETROS!$F$13)</f>
        <v/>
      </c>
      <c r="G28" s="14">
        <f>F28*PARAMETROS!$D$23*PARAMETROS!$D$24</f>
        <v/>
      </c>
      <c r="H28" s="14">
        <f>PARAMETROS!$D$22*PARAMETROS!$D$21*E28*PARAMETROS!$D$23*PARAMETROS!$D$24</f>
        <v/>
      </c>
      <c r="I28" s="14">
        <f>IF(C28="",0,PARAMETROS!$D$25/60*(IF(PARAMETROS!$D$27="Real",SUMPRODUCT((BASE!$E$6:$E$205=C28)*BASE!$P$6:$P$205*BASE!$L$6:$L$205*BASE!$N$6:$N$205),SUMPRODUCT((BASE!$E$6:$E$205=C28)*BASE!$P$6:$P$205*BASE!$L$6:$L$205*BASE!$H$6:$H$205))*PARAMETROS!$D$26+SUMPRODUCT((BASE!$E$6:$E$205=C28)*BASE!$P$6:$P$205*BASE!$L$6:$L$205*BASE!$O$6:$O$205)))</f>
        <v/>
      </c>
      <c r="J28" s="15">
        <f>IF(G28&gt;0,I28/G28,0)</f>
        <v/>
      </c>
      <c r="K28" s="16">
        <f>G28-I28</f>
        <v/>
      </c>
      <c r="L28" s="14">
        <f>MAX(0,K28)</f>
        <v/>
      </c>
      <c r="M28" s="14">
        <f>MAX(0,-K28)</f>
        <v/>
      </c>
      <c r="N28" s="14">
        <f>M28</f>
        <v/>
      </c>
      <c r="O28" s="14">
        <f>IF(PARAMETROS!$D$28&gt;0,M28/PARAMETROS!$D$28,0)</f>
        <v/>
      </c>
      <c r="P28" s="15">
        <f>IF(PARAMETROS!$C$8="Nominal",IF(F28&gt;0,I28/F28,0),J28)</f>
        <v/>
      </c>
      <c r="Q28" s="12">
        <f>IF(C28="","",IF(I28=0,"SEM CARGA",IF(OR(G28=0,J28&gt;=PARAMETROS!$C$7),"INSUFICIENTE",IF(J28&gt;=PARAMETROS!$C$6,"ATENÇÃO","OK"))))</f>
        <v/>
      </c>
      <c r="R28" s="15">
        <f>IF(G28+H28&gt;0,I28/(G28+H28),0)</f>
        <v/>
      </c>
      <c r="S28" s="14">
        <f>G28/PARAMETROS!$C$4</f>
        <v/>
      </c>
      <c r="T28" s="14">
        <f>S28*PARAMETROS!$C$5</f>
        <v/>
      </c>
      <c r="U28" s="28">
        <f>IF(I28&gt;0,SUMIF(BASE!$E$6:$E$205,C28,BASE!$L$6:$L$205)*PARAMETROS!$D$25*G28/I28,0)</f>
        <v/>
      </c>
    </row>
    <row r="29">
      <c r="A29" s="11" t="n">
        <v>2</v>
      </c>
      <c r="B29" s="11" t="n">
        <v>9</v>
      </c>
      <c r="C29" s="11">
        <f>IF(MAO_OBRA!A14="","",MAO_OBRA!A14)</f>
        <v/>
      </c>
      <c r="D29" s="11">
        <f>IF(MAO_OBRA!B14="","",MAO_OBRA!B14)</f>
        <v/>
      </c>
      <c r="E29" s="13">
        <f>MAO_OBRA!P14</f>
        <v/>
      </c>
      <c r="F29" s="14">
        <f>PARAMETROS!$C$4*(MAO_OBRA!F14*PARAMETROS!$D$18*PARAMETROS!$F$11+MAO_OBRA!G14*PARAMETROS!$D$19*PARAMETROS!$F$12+MAO_OBRA!H14*PARAMETROS!$D$20*PARAMETROS!$F$13)</f>
        <v/>
      </c>
      <c r="G29" s="14">
        <f>F29*PARAMETROS!$D$23*PARAMETROS!$D$24</f>
        <v/>
      </c>
      <c r="H29" s="14">
        <f>PARAMETROS!$D$22*PARAMETROS!$D$21*E29*PARAMETROS!$D$23*PARAMETROS!$D$24</f>
        <v/>
      </c>
      <c r="I29" s="14">
        <f>IF(C29="",0,PARAMETROS!$D$25/60*(IF(PARAMETROS!$D$27="Real",SUMPRODUCT((BASE!$E$6:$E$205=C29)*BASE!$P$6:$P$205*BASE!$L$6:$L$205*BASE!$N$6:$N$205),SUMPRODUCT((BASE!$E$6:$E$205=C29)*BASE!$P$6:$P$205*BASE!$L$6:$L$205*BASE!$H$6:$H$205))*PARAMETROS!$D$26+SUMPRODUCT((BASE!$E$6:$E$205=C29)*BASE!$P$6:$P$205*BASE!$L$6:$L$205*BASE!$O$6:$O$205)))</f>
        <v/>
      </c>
      <c r="J29" s="15">
        <f>IF(G29&gt;0,I29/G29,0)</f>
        <v/>
      </c>
      <c r="K29" s="16">
        <f>G29-I29</f>
        <v/>
      </c>
      <c r="L29" s="14">
        <f>MAX(0,K29)</f>
        <v/>
      </c>
      <c r="M29" s="14">
        <f>MAX(0,-K29)</f>
        <v/>
      </c>
      <c r="N29" s="14">
        <f>M29</f>
        <v/>
      </c>
      <c r="O29" s="14">
        <f>IF(PARAMETROS!$D$28&gt;0,M29/PARAMETROS!$D$28,0)</f>
        <v/>
      </c>
      <c r="P29" s="15">
        <f>IF(PARAMETROS!$C$8="Nominal",IF(F29&gt;0,I29/F29,0),J29)</f>
        <v/>
      </c>
      <c r="Q29" s="12">
        <f>IF(C29="","",IF(I29=0,"SEM CARGA",IF(OR(G29=0,J29&gt;=PARAMETROS!$C$7),"INSUFICIENTE",IF(J29&gt;=PARAMETROS!$C$6,"ATENÇÃO","OK"))))</f>
        <v/>
      </c>
      <c r="R29" s="15">
        <f>IF(G29+H29&gt;0,I29/(G29+H29),0)</f>
        <v/>
      </c>
      <c r="S29" s="14">
        <f>G29/PARAMETROS!$C$4</f>
        <v/>
      </c>
      <c r="T29" s="14">
        <f>S29*PARAMETROS!$C$5</f>
        <v/>
      </c>
      <c r="U29" s="28">
        <f>IF(I29&gt;0,SUMIF(BASE!$E$6:$E$205,C29,BASE!$L$6:$L$205)*PARAMETROS!$D$25*G29/I29,0)</f>
        <v/>
      </c>
    </row>
    <row r="30">
      <c r="A30" s="11" t="n">
        <v>2</v>
      </c>
      <c r="B30" s="11" t="n">
        <v>10</v>
      </c>
      <c r="C30" s="11">
        <f>IF(MAO_OBRA!A15="","",MAO_OBRA!A15)</f>
        <v/>
      </c>
      <c r="D30" s="11">
        <f>IF(MAO_OBRA!B15="","",MAO_OBRA!B15)</f>
        <v/>
      </c>
      <c r="E30" s="13">
        <f>MAO_OBRA!P15</f>
        <v/>
      </c>
      <c r="F30" s="14">
        <f>PARAMETROS!$C$4*(MAO_OBRA!F15*PARAMETROS!$D$18*PARAMETROS!$F$11+MAO_OBRA!G15*PARAMETROS!$D$19*PARAMETROS!$F$12+MAO_OBRA!H15*PARAMETROS!$D$20*PARAMETROS!$F$13)</f>
        <v/>
      </c>
      <c r="G30" s="14">
        <f>F30*PARAMETROS!$D$23*PARAMETROS!$D$24</f>
        <v/>
      </c>
      <c r="H30" s="14">
        <f>PARAMETROS!$D$22*PARAMETROS!$D$21*E30*PARAMETROS!$D$23*PARAMETROS!$D$24</f>
        <v/>
      </c>
      <c r="I30" s="14">
        <f>IF(C30="",0,PARAMETROS!$D$25/60*(IF(PARAMETROS!$D$27="Real",SUMPRODUCT((BASE!$E$6:$E$205=C30)*BASE!$P$6:$P$205*BASE!$L$6:$L$205*BASE!$N$6:$N$205),SUMPRODUCT((BASE!$E$6:$E$205=C30)*BASE!$P$6:$P$205*BASE!$L$6:$L$205*BASE!$H$6:$H$205))*PARAMETROS!$D$26+SUMPRODUCT((BASE!$E$6:$E$205=C30)*BASE!$P$6:$P$205*BASE!$L$6:$L$205*BASE!$O$6:$O$205)))</f>
        <v/>
      </c>
      <c r="J30" s="15">
        <f>IF(G30&gt;0,I30/G30,0)</f>
        <v/>
      </c>
      <c r="K30" s="16">
        <f>G30-I30</f>
        <v/>
      </c>
      <c r="L30" s="14">
        <f>MAX(0,K30)</f>
        <v/>
      </c>
      <c r="M30" s="14">
        <f>MAX(0,-K30)</f>
        <v/>
      </c>
      <c r="N30" s="14">
        <f>M30</f>
        <v/>
      </c>
      <c r="O30" s="14">
        <f>IF(PARAMETROS!$D$28&gt;0,M30/PARAMETROS!$D$28,0)</f>
        <v/>
      </c>
      <c r="P30" s="15">
        <f>IF(PARAMETROS!$C$8="Nominal",IF(F30&gt;0,I30/F30,0),J30)</f>
        <v/>
      </c>
      <c r="Q30" s="12">
        <f>IF(C30="","",IF(I30=0,"SEM CARGA",IF(OR(G30=0,J30&gt;=PARAMETROS!$C$7),"INSUFICIENTE",IF(J30&gt;=PARAMETROS!$C$6,"ATENÇÃO","OK"))))</f>
        <v/>
      </c>
      <c r="R30" s="15">
        <f>IF(G30+H30&gt;0,I30/(G30+H30),0)</f>
        <v/>
      </c>
      <c r="S30" s="14">
        <f>G30/PARAMETROS!$C$4</f>
        <v/>
      </c>
      <c r="T30" s="14">
        <f>S30*PARAMETROS!$C$5</f>
        <v/>
      </c>
      <c r="U30" s="28">
        <f>IF(I30&gt;0,SUMIF(BASE!$E$6:$E$205,C30,BASE!$L$6:$L$205)*PARAMETROS!$D$25*G30/I30,0)</f>
        <v/>
      </c>
    </row>
    <row r="31">
      <c r="A31" s="11" t="n">
        <v>2</v>
      </c>
      <c r="B31" s="11" t="n">
        <v>11</v>
      </c>
      <c r="C31" s="11">
        <f>IF(MAO_OBRA!A16="","",MAO_OBRA!A16)</f>
        <v/>
      </c>
      <c r="D31" s="11">
        <f>IF(MAO_OBRA!B16="","",MAO_OBRA!B16)</f>
        <v/>
      </c>
      <c r="E31" s="13">
        <f>MAO_OBRA!P16</f>
        <v/>
      </c>
      <c r="F31" s="14">
        <f>PARAMETROS!$C$4*(MAO_OBRA!F16*PARAMETROS!$D$18*PARAMETROS!$F$11+MAO_OBRA!G16*PARAMETROS!$D$19*PARAMETROS!$F$12+MAO_OBRA!H16*PARAMETROS!$D$20*PARAMETROS!$F$13)</f>
        <v/>
      </c>
      <c r="G31" s="14">
        <f>F31*PARAMETROS!$D$23*PARAMETROS!$D$24</f>
        <v/>
      </c>
      <c r="H31" s="14">
        <f>PARAMETROS!$D$22*PARAMETROS!$D$21*E31*PARAMETROS!$D$23*PARAMETROS!$D$24</f>
        <v/>
      </c>
      <c r="I31" s="14">
        <f>IF(C31="",0,PARAMETROS!$D$25/60*(IF(PARAMETROS!$D$27="Real",SUMPRODUCT((BASE!$E$6:$E$205=C31)*BASE!$P$6:$P$205*BASE!$L$6:$L$205*BASE!$N$6:$N$205),SUMPRODUCT((BASE!$E$6:$E$205=C31)*BASE!$P$6:$P$205*BASE!$L$6:$L$205*BASE!$H$6:$H$205))*PARAMETROS!$D$26+SUMPRODUCT((BASE!$E$6:$E$205=C31)*BASE!$P$6:$P$205*BASE!$L$6:$L$205*BASE!$O$6:$O$205)))</f>
        <v/>
      </c>
      <c r="J31" s="15">
        <f>IF(G31&gt;0,I31/G31,0)</f>
        <v/>
      </c>
      <c r="K31" s="16">
        <f>G31-I31</f>
        <v/>
      </c>
      <c r="L31" s="14">
        <f>MAX(0,K31)</f>
        <v/>
      </c>
      <c r="M31" s="14">
        <f>MAX(0,-K31)</f>
        <v/>
      </c>
      <c r="N31" s="14">
        <f>M31</f>
        <v/>
      </c>
      <c r="O31" s="14">
        <f>IF(PARAMETROS!$D$28&gt;0,M31/PARAMETROS!$D$28,0)</f>
        <v/>
      </c>
      <c r="P31" s="15">
        <f>IF(PARAMETROS!$C$8="Nominal",IF(F31&gt;0,I31/F31,0),J31)</f>
        <v/>
      </c>
      <c r="Q31" s="12">
        <f>IF(C31="","",IF(I31=0,"SEM CARGA",IF(OR(G31=0,J31&gt;=PARAMETROS!$C$7),"INSUFICIENTE",IF(J31&gt;=PARAMETROS!$C$6,"ATENÇÃO","OK"))))</f>
        <v/>
      </c>
      <c r="R31" s="15">
        <f>IF(G31+H31&gt;0,I31/(G31+H31),0)</f>
        <v/>
      </c>
      <c r="S31" s="14">
        <f>G31/PARAMETROS!$C$4</f>
        <v/>
      </c>
      <c r="T31" s="14">
        <f>S31*PARAMETROS!$C$5</f>
        <v/>
      </c>
      <c r="U31" s="28">
        <f>IF(I31&gt;0,SUMIF(BASE!$E$6:$E$205,C31,BASE!$L$6:$L$205)*PARAMETROS!$D$25*G31/I31,0)</f>
        <v/>
      </c>
    </row>
    <row r="32">
      <c r="A32" s="11" t="n">
        <v>2</v>
      </c>
      <c r="B32" s="11" t="n">
        <v>12</v>
      </c>
      <c r="C32" s="11">
        <f>IF(MAO_OBRA!A17="","",MAO_OBRA!A17)</f>
        <v/>
      </c>
      <c r="D32" s="11">
        <f>IF(MAO_OBRA!B17="","",MAO_OBRA!B17)</f>
        <v/>
      </c>
      <c r="E32" s="13">
        <f>MAO_OBRA!P17</f>
        <v/>
      </c>
      <c r="F32" s="14">
        <f>PARAMETROS!$C$4*(MAO_OBRA!F17*PARAMETROS!$D$18*PARAMETROS!$F$11+MAO_OBRA!G17*PARAMETROS!$D$19*PARAMETROS!$F$12+MAO_OBRA!H17*PARAMETROS!$D$20*PARAMETROS!$F$13)</f>
        <v/>
      </c>
      <c r="G32" s="14">
        <f>F32*PARAMETROS!$D$23*PARAMETROS!$D$24</f>
        <v/>
      </c>
      <c r="H32" s="14">
        <f>PARAMETROS!$D$22*PARAMETROS!$D$21*E32*PARAMETROS!$D$23*PARAMETROS!$D$24</f>
        <v/>
      </c>
      <c r="I32" s="14">
        <f>IF(C32="",0,PARAMETROS!$D$25/60*(IF(PARAMETROS!$D$27="Real",SUMPRODUCT((BASE!$E$6:$E$205=C32)*BASE!$P$6:$P$205*BASE!$L$6:$L$205*BASE!$N$6:$N$205),SUMPRODUCT((BASE!$E$6:$E$205=C32)*BASE!$P$6:$P$205*BASE!$L$6:$L$205*BASE!$H$6:$H$205))*PARAMETROS!$D$26+SUMPRODUCT((BASE!$E$6:$E$205=C32)*BASE!$P$6:$P$205*BASE!$L$6:$L$205*BASE!$O$6:$O$205)))</f>
        <v/>
      </c>
      <c r="J32" s="15">
        <f>IF(G32&gt;0,I32/G32,0)</f>
        <v/>
      </c>
      <c r="K32" s="16">
        <f>G32-I32</f>
        <v/>
      </c>
      <c r="L32" s="14">
        <f>MAX(0,K32)</f>
        <v/>
      </c>
      <c r="M32" s="14">
        <f>MAX(0,-K32)</f>
        <v/>
      </c>
      <c r="N32" s="14">
        <f>M32</f>
        <v/>
      </c>
      <c r="O32" s="14">
        <f>IF(PARAMETROS!$D$28&gt;0,M32/PARAMETROS!$D$28,0)</f>
        <v/>
      </c>
      <c r="P32" s="15">
        <f>IF(PARAMETROS!$C$8="Nominal",IF(F32&gt;0,I32/F32,0),J32)</f>
        <v/>
      </c>
      <c r="Q32" s="12">
        <f>IF(C32="","",IF(I32=0,"SEM CARGA",IF(OR(G32=0,J32&gt;=PARAMETROS!$C$7),"INSUFICIENTE",IF(J32&gt;=PARAMETROS!$C$6,"ATENÇÃO","OK"))))</f>
        <v/>
      </c>
      <c r="R32" s="15">
        <f>IF(G32+H32&gt;0,I32/(G32+H32),0)</f>
        <v/>
      </c>
      <c r="S32" s="14">
        <f>G32/PARAMETROS!$C$4</f>
        <v/>
      </c>
      <c r="T32" s="14">
        <f>S32*PARAMETROS!$C$5</f>
        <v/>
      </c>
      <c r="U32" s="28">
        <f>IF(I32&gt;0,SUMIF(BASE!$E$6:$E$205,C32,BASE!$L$6:$L$205)*PARAMETROS!$D$25*G32/I32,0)</f>
        <v/>
      </c>
    </row>
    <row r="33">
      <c r="A33" s="11" t="n">
        <v>2</v>
      </c>
      <c r="B33" s="11" t="n">
        <v>13</v>
      </c>
      <c r="C33" s="11">
        <f>IF(MAO_OBRA!A18="","",MAO_OBRA!A18)</f>
        <v/>
      </c>
      <c r="D33" s="11">
        <f>IF(MAO_OBRA!B18="","",MAO_OBRA!B18)</f>
        <v/>
      </c>
      <c r="E33" s="13">
        <f>MAO_OBRA!P18</f>
        <v/>
      </c>
      <c r="F33" s="14">
        <f>PARAMETROS!$C$4*(MAO_OBRA!F18*PARAMETROS!$D$18*PARAMETROS!$F$11+MAO_OBRA!G18*PARAMETROS!$D$19*PARAMETROS!$F$12+MAO_OBRA!H18*PARAMETROS!$D$20*PARAMETROS!$F$13)</f>
        <v/>
      </c>
      <c r="G33" s="14">
        <f>F33*PARAMETROS!$D$23*PARAMETROS!$D$24</f>
        <v/>
      </c>
      <c r="H33" s="14">
        <f>PARAMETROS!$D$22*PARAMETROS!$D$21*E33*PARAMETROS!$D$23*PARAMETROS!$D$24</f>
        <v/>
      </c>
      <c r="I33" s="14">
        <f>IF(C33="",0,PARAMETROS!$D$25/60*(IF(PARAMETROS!$D$27="Real",SUMPRODUCT((BASE!$E$6:$E$205=C33)*BASE!$P$6:$P$205*BASE!$L$6:$L$205*BASE!$N$6:$N$205),SUMPRODUCT((BASE!$E$6:$E$205=C33)*BASE!$P$6:$P$205*BASE!$L$6:$L$205*BASE!$H$6:$H$205))*PARAMETROS!$D$26+SUMPRODUCT((BASE!$E$6:$E$205=C33)*BASE!$P$6:$P$205*BASE!$L$6:$L$205*BASE!$O$6:$O$205)))</f>
        <v/>
      </c>
      <c r="J33" s="15">
        <f>IF(G33&gt;0,I33/G33,0)</f>
        <v/>
      </c>
      <c r="K33" s="16">
        <f>G33-I33</f>
        <v/>
      </c>
      <c r="L33" s="14">
        <f>MAX(0,K33)</f>
        <v/>
      </c>
      <c r="M33" s="14">
        <f>MAX(0,-K33)</f>
        <v/>
      </c>
      <c r="N33" s="14">
        <f>M33</f>
        <v/>
      </c>
      <c r="O33" s="14">
        <f>IF(PARAMETROS!$D$28&gt;0,M33/PARAMETROS!$D$28,0)</f>
        <v/>
      </c>
      <c r="P33" s="15">
        <f>IF(PARAMETROS!$C$8="Nominal",IF(F33&gt;0,I33/F33,0),J33)</f>
        <v/>
      </c>
      <c r="Q33" s="12">
        <f>IF(C33="","",IF(I33=0,"SEM CARGA",IF(OR(G33=0,J33&gt;=PARAMETROS!$C$7),"INSUFICIENTE",IF(J33&gt;=PARAMETROS!$C$6,"ATENÇÃO","OK"))))</f>
        <v/>
      </c>
      <c r="R33" s="15">
        <f>IF(G33+H33&gt;0,I33/(G33+H33),0)</f>
        <v/>
      </c>
      <c r="S33" s="14">
        <f>G33/PARAMETROS!$C$4</f>
        <v/>
      </c>
      <c r="T33" s="14">
        <f>S33*PARAMETROS!$C$5</f>
        <v/>
      </c>
      <c r="U33" s="28">
        <f>IF(I33&gt;0,SUMIF(BASE!$E$6:$E$205,C33,BASE!$L$6:$L$205)*PARAMETROS!$D$25*G33/I33,0)</f>
        <v/>
      </c>
    </row>
    <row r="34">
      <c r="A34" s="11" t="n">
        <v>2</v>
      </c>
      <c r="B34" s="11" t="n">
        <v>14</v>
      </c>
      <c r="C34" s="11">
        <f>IF(MAO_OBRA!A19="","",MAO_OBRA!A19)</f>
        <v/>
      </c>
      <c r="D34" s="11">
        <f>IF(MAO_OBRA!B19="","",MAO_OBRA!B19)</f>
        <v/>
      </c>
      <c r="E34" s="13">
        <f>MAO_OBRA!P19</f>
        <v/>
      </c>
      <c r="F34" s="14">
        <f>PARAMETROS!$C$4*(MAO_OBRA!F19*PARAMETROS!$D$18*PARAMETROS!$F$11+MAO_OBRA!G19*PARAMETROS!$D$19*PARAMETROS!$F$12+MAO_OBRA!H19*PARAMETROS!$D$20*PARAMETROS!$F$13)</f>
        <v/>
      </c>
      <c r="G34" s="14">
        <f>F34*PARAMETROS!$D$23*PARAMETROS!$D$24</f>
        <v/>
      </c>
      <c r="H34" s="14">
        <f>PARAMETROS!$D$22*PARAMETROS!$D$21*E34*PARAMETROS!$D$23*PARAMETROS!$D$24</f>
        <v/>
      </c>
      <c r="I34" s="14">
        <f>IF(C34="",0,PARAMETROS!$D$25/60*(IF(PARAMETROS!$D$27="Real",SUMPRODUCT((BASE!$E$6:$E$205=C34)*BASE!$P$6:$P$205*BASE!$L$6:$L$205*BASE!$N$6:$N$205),SUMPRODUCT((BASE!$E$6:$E$205=C34)*BASE!$P$6:$P$205*BASE!$L$6:$L$205*BASE!$H$6:$H$205))*PARAMETROS!$D$26+SUMPRODUCT((BASE!$E$6:$E$205=C34)*BASE!$P$6:$P$205*BASE!$L$6:$L$205*BASE!$O$6:$O$205)))</f>
        <v/>
      </c>
      <c r="J34" s="15">
        <f>IF(G34&gt;0,I34/G34,0)</f>
        <v/>
      </c>
      <c r="K34" s="16">
        <f>G34-I34</f>
        <v/>
      </c>
      <c r="L34" s="14">
        <f>MAX(0,K34)</f>
        <v/>
      </c>
      <c r="M34" s="14">
        <f>MAX(0,-K34)</f>
        <v/>
      </c>
      <c r="N34" s="14">
        <f>M34</f>
        <v/>
      </c>
      <c r="O34" s="14">
        <f>IF(PARAMETROS!$D$28&gt;0,M34/PARAMETROS!$D$28,0)</f>
        <v/>
      </c>
      <c r="P34" s="15">
        <f>IF(PARAMETROS!$C$8="Nominal",IF(F34&gt;0,I34/F34,0),J34)</f>
        <v/>
      </c>
      <c r="Q34" s="12">
        <f>IF(C34="","",IF(I34=0,"SEM CARGA",IF(OR(G34=0,J34&gt;=PARAMETROS!$C$7),"INSUFICIENTE",IF(J34&gt;=PARAMETROS!$C$6,"ATENÇÃO","OK"))))</f>
        <v/>
      </c>
      <c r="R34" s="15">
        <f>IF(G34+H34&gt;0,I34/(G34+H34),0)</f>
        <v/>
      </c>
      <c r="S34" s="14">
        <f>G34/PARAMETROS!$C$4</f>
        <v/>
      </c>
      <c r="T34" s="14">
        <f>S34*PARAMETROS!$C$5</f>
        <v/>
      </c>
      <c r="U34" s="28">
        <f>IF(I34&gt;0,SUMIF(BASE!$E$6:$E$205,C34,BASE!$L$6:$L$205)*PARAMETROS!$D$25*G34/I34,0)</f>
        <v/>
      </c>
    </row>
    <row r="35">
      <c r="A35" s="11" t="n">
        <v>2</v>
      </c>
      <c r="B35" s="11" t="n">
        <v>15</v>
      </c>
      <c r="C35" s="11">
        <f>IF(MAO_OBRA!A20="","",MAO_OBRA!A20)</f>
        <v/>
      </c>
      <c r="D35" s="11">
        <f>IF(MAO_OBRA!B20="","",MAO_OBRA!B20)</f>
        <v/>
      </c>
      <c r="E35" s="13">
        <f>MAO_OBRA!P20</f>
        <v/>
      </c>
      <c r="F35" s="14">
        <f>PARAMETROS!$C$4*(MAO_OBRA!F20*PARAMETROS!$D$18*PARAMETROS!$F$11+MAO_OBRA!G20*PARAMETROS!$D$19*PARAMETROS!$F$12+MAO_OBRA!H20*PARAMETROS!$D$20*PARAMETROS!$F$13)</f>
        <v/>
      </c>
      <c r="G35" s="14">
        <f>F35*PARAMETROS!$D$23*PARAMETROS!$D$24</f>
        <v/>
      </c>
      <c r="H35" s="14">
        <f>PARAMETROS!$D$22*PARAMETROS!$D$21*E35*PARAMETROS!$D$23*PARAMETROS!$D$24</f>
        <v/>
      </c>
      <c r="I35" s="14">
        <f>IF(C35="",0,PARAMETROS!$D$25/60*(IF(PARAMETROS!$D$27="Real",SUMPRODUCT((BASE!$E$6:$E$205=C35)*BASE!$P$6:$P$205*BASE!$L$6:$L$205*BASE!$N$6:$N$205),SUMPRODUCT((BASE!$E$6:$E$205=C35)*BASE!$P$6:$P$205*BASE!$L$6:$L$205*BASE!$H$6:$H$205))*PARAMETROS!$D$26+SUMPRODUCT((BASE!$E$6:$E$205=C35)*BASE!$P$6:$P$205*BASE!$L$6:$L$205*BASE!$O$6:$O$205)))</f>
        <v/>
      </c>
      <c r="J35" s="15">
        <f>IF(G35&gt;0,I35/G35,0)</f>
        <v/>
      </c>
      <c r="K35" s="16">
        <f>G35-I35</f>
        <v/>
      </c>
      <c r="L35" s="14">
        <f>MAX(0,K35)</f>
        <v/>
      </c>
      <c r="M35" s="14">
        <f>MAX(0,-K35)</f>
        <v/>
      </c>
      <c r="N35" s="14">
        <f>M35</f>
        <v/>
      </c>
      <c r="O35" s="14">
        <f>IF(PARAMETROS!$D$28&gt;0,M35/PARAMETROS!$D$28,0)</f>
        <v/>
      </c>
      <c r="P35" s="15">
        <f>IF(PARAMETROS!$C$8="Nominal",IF(F35&gt;0,I35/F35,0),J35)</f>
        <v/>
      </c>
      <c r="Q35" s="12">
        <f>IF(C35="","",IF(I35=0,"SEM CARGA",IF(OR(G35=0,J35&gt;=PARAMETROS!$C$7),"INSUFICIENTE",IF(J35&gt;=PARAMETROS!$C$6,"ATENÇÃO","OK"))))</f>
        <v/>
      </c>
      <c r="R35" s="15">
        <f>IF(G35+H35&gt;0,I35/(G35+H35),0)</f>
        <v/>
      </c>
      <c r="S35" s="14">
        <f>G35/PARAMETROS!$C$4</f>
        <v/>
      </c>
      <c r="T35" s="14">
        <f>S35*PARAMETROS!$C$5</f>
        <v/>
      </c>
      <c r="U35" s="28">
        <f>IF(I35&gt;0,SUMIF(BASE!$E$6:$E$205,C35,BASE!$L$6:$L$205)*PARAMETROS!$D$25*G35/I35,0)</f>
        <v/>
      </c>
    </row>
    <row r="36">
      <c r="A36" s="11" t="n">
        <v>3</v>
      </c>
      <c r="B36" s="11" t="n">
        <v>1</v>
      </c>
      <c r="C36" s="11">
        <f>IF(MAO_OBRA!A6="","",MAO_OBRA!A6)</f>
        <v/>
      </c>
      <c r="D36" s="11">
        <f>IF(MAO_OBRA!B6="","",MAO_OBRA!B6)</f>
        <v/>
      </c>
      <c r="E36" s="13">
        <f>MAO_OBRA!Q6</f>
        <v/>
      </c>
      <c r="F36" s="14">
        <f>PARAMETROS!$C$4*(MAO_OBRA!I6*PARAMETROS!$E$18*PARAMETROS!$F$11+MAO_OBRA!J6*PARAMETROS!$E$19*PARAMETROS!$F$12+MAO_OBRA!K6*PARAMETROS!$E$20*PARAMETROS!$F$13)</f>
        <v/>
      </c>
      <c r="G36" s="14">
        <f>F36*PARAMETROS!$E$23*PARAMETROS!$E$24</f>
        <v/>
      </c>
      <c r="H36" s="14">
        <f>PARAMETROS!$E$22*PARAMETROS!$E$21*E36*PARAMETROS!$E$23*PARAMETROS!$E$24</f>
        <v/>
      </c>
      <c r="I36" s="14">
        <f>IF(C36="",0,PARAMETROS!$E$25/60*(IF(PARAMETROS!$E$27="Real",SUMPRODUCT((BASE!$E$6:$E$205=C36)*BASE!$P$6:$P$205*BASE!$L$6:$L$205*BASE!$N$6:$N$205),SUMPRODUCT((BASE!$E$6:$E$205=C36)*BASE!$P$6:$P$205*BASE!$L$6:$L$205*BASE!$H$6:$H$205))*PARAMETROS!$E$26+SUMPRODUCT((BASE!$E$6:$E$205=C36)*BASE!$P$6:$P$205*BASE!$L$6:$L$205*BASE!$O$6:$O$205)))</f>
        <v/>
      </c>
      <c r="J36" s="15">
        <f>IF(G36&gt;0,I36/G36,0)</f>
        <v/>
      </c>
      <c r="K36" s="16">
        <f>G36-I36</f>
        <v/>
      </c>
      <c r="L36" s="14">
        <f>MAX(0,K36)</f>
        <v/>
      </c>
      <c r="M36" s="14">
        <f>MAX(0,-K36)</f>
        <v/>
      </c>
      <c r="N36" s="14">
        <f>M36</f>
        <v/>
      </c>
      <c r="O36" s="14">
        <f>IF(PARAMETROS!$E$28&gt;0,M36/PARAMETROS!$E$28,0)</f>
        <v/>
      </c>
      <c r="P36" s="15">
        <f>IF(PARAMETROS!$C$8="Nominal",IF(F36&gt;0,I36/F36,0),J36)</f>
        <v/>
      </c>
      <c r="Q36" s="12">
        <f>IF(C36="","",IF(I36=0,"SEM CARGA",IF(OR(G36=0,J36&gt;=PARAMETROS!$C$7),"INSUFICIENTE",IF(J36&gt;=PARAMETROS!$C$6,"ATENÇÃO","OK"))))</f>
        <v/>
      </c>
      <c r="R36" s="15">
        <f>IF(G36+H36&gt;0,I36/(G36+H36),0)</f>
        <v/>
      </c>
      <c r="S36" s="14">
        <f>G36/PARAMETROS!$C$4</f>
        <v/>
      </c>
      <c r="T36" s="14">
        <f>S36*PARAMETROS!$C$5</f>
        <v/>
      </c>
      <c r="U36" s="28">
        <f>IF(I36&gt;0,SUMIF(BASE!$E$6:$E$205,C36,BASE!$L$6:$L$205)*PARAMETROS!$E$25*G36/I36,0)</f>
        <v/>
      </c>
    </row>
    <row r="37">
      <c r="A37" s="11" t="n">
        <v>3</v>
      </c>
      <c r="B37" s="11" t="n">
        <v>2</v>
      </c>
      <c r="C37" s="11">
        <f>IF(MAO_OBRA!A7="","",MAO_OBRA!A7)</f>
        <v/>
      </c>
      <c r="D37" s="11">
        <f>IF(MAO_OBRA!B7="","",MAO_OBRA!B7)</f>
        <v/>
      </c>
      <c r="E37" s="13">
        <f>MAO_OBRA!Q7</f>
        <v/>
      </c>
      <c r="F37" s="14">
        <f>PARAMETROS!$C$4*(MAO_OBRA!I7*PARAMETROS!$E$18*PARAMETROS!$F$11+MAO_OBRA!J7*PARAMETROS!$E$19*PARAMETROS!$F$12+MAO_OBRA!K7*PARAMETROS!$E$20*PARAMETROS!$F$13)</f>
        <v/>
      </c>
      <c r="G37" s="14">
        <f>F37*PARAMETROS!$E$23*PARAMETROS!$E$24</f>
        <v/>
      </c>
      <c r="H37" s="14">
        <f>PARAMETROS!$E$22*PARAMETROS!$E$21*E37*PARAMETROS!$E$23*PARAMETROS!$E$24</f>
        <v/>
      </c>
      <c r="I37" s="14">
        <f>IF(C37="",0,PARAMETROS!$E$25/60*(IF(PARAMETROS!$E$27="Real",SUMPRODUCT((BASE!$E$6:$E$205=C37)*BASE!$P$6:$P$205*BASE!$L$6:$L$205*BASE!$N$6:$N$205),SUMPRODUCT((BASE!$E$6:$E$205=C37)*BASE!$P$6:$P$205*BASE!$L$6:$L$205*BASE!$H$6:$H$205))*PARAMETROS!$E$26+SUMPRODUCT((BASE!$E$6:$E$205=C37)*BASE!$P$6:$P$205*BASE!$L$6:$L$205*BASE!$O$6:$O$205)))</f>
        <v/>
      </c>
      <c r="J37" s="15">
        <f>IF(G37&gt;0,I37/G37,0)</f>
        <v/>
      </c>
      <c r="K37" s="16">
        <f>G37-I37</f>
        <v/>
      </c>
      <c r="L37" s="14">
        <f>MAX(0,K37)</f>
        <v/>
      </c>
      <c r="M37" s="14">
        <f>MAX(0,-K37)</f>
        <v/>
      </c>
      <c r="N37" s="14">
        <f>M37</f>
        <v/>
      </c>
      <c r="O37" s="14">
        <f>IF(PARAMETROS!$E$28&gt;0,M37/PARAMETROS!$E$28,0)</f>
        <v/>
      </c>
      <c r="P37" s="15">
        <f>IF(PARAMETROS!$C$8="Nominal",IF(F37&gt;0,I37/F37,0),J37)</f>
        <v/>
      </c>
      <c r="Q37" s="12">
        <f>IF(C37="","",IF(I37=0,"SEM CARGA",IF(OR(G37=0,J37&gt;=PARAMETROS!$C$7),"INSUFICIENTE",IF(J37&gt;=PARAMETROS!$C$6,"ATENÇÃO","OK"))))</f>
        <v/>
      </c>
      <c r="R37" s="15">
        <f>IF(G37+H37&gt;0,I37/(G37+H37),0)</f>
        <v/>
      </c>
      <c r="S37" s="14">
        <f>G37/PARAMETROS!$C$4</f>
        <v/>
      </c>
      <c r="T37" s="14">
        <f>S37*PARAMETROS!$C$5</f>
        <v/>
      </c>
      <c r="U37" s="28">
        <f>IF(I37&gt;0,SUMIF(BASE!$E$6:$E$205,C37,BASE!$L$6:$L$205)*PARAMETROS!$E$25*G37/I37,0)</f>
        <v/>
      </c>
    </row>
    <row r="38">
      <c r="A38" s="11" t="n">
        <v>3</v>
      </c>
      <c r="B38" s="11" t="n">
        <v>3</v>
      </c>
      <c r="C38" s="11">
        <f>IF(MAO_OBRA!A8="","",MAO_OBRA!A8)</f>
        <v/>
      </c>
      <c r="D38" s="11">
        <f>IF(MAO_OBRA!B8="","",MAO_OBRA!B8)</f>
        <v/>
      </c>
      <c r="E38" s="13">
        <f>MAO_OBRA!Q8</f>
        <v/>
      </c>
      <c r="F38" s="14">
        <f>PARAMETROS!$C$4*(MAO_OBRA!I8*PARAMETROS!$E$18*PARAMETROS!$F$11+MAO_OBRA!J8*PARAMETROS!$E$19*PARAMETROS!$F$12+MAO_OBRA!K8*PARAMETROS!$E$20*PARAMETROS!$F$13)</f>
        <v/>
      </c>
      <c r="G38" s="14">
        <f>F38*PARAMETROS!$E$23*PARAMETROS!$E$24</f>
        <v/>
      </c>
      <c r="H38" s="14">
        <f>PARAMETROS!$E$22*PARAMETROS!$E$21*E38*PARAMETROS!$E$23*PARAMETROS!$E$24</f>
        <v/>
      </c>
      <c r="I38" s="14">
        <f>IF(C38="",0,PARAMETROS!$E$25/60*(IF(PARAMETROS!$E$27="Real",SUMPRODUCT((BASE!$E$6:$E$205=C38)*BASE!$P$6:$P$205*BASE!$L$6:$L$205*BASE!$N$6:$N$205),SUMPRODUCT((BASE!$E$6:$E$205=C38)*BASE!$P$6:$P$205*BASE!$L$6:$L$205*BASE!$H$6:$H$205))*PARAMETROS!$E$26+SUMPRODUCT((BASE!$E$6:$E$205=C38)*BASE!$P$6:$P$205*BASE!$L$6:$L$205*BASE!$O$6:$O$205)))</f>
        <v/>
      </c>
      <c r="J38" s="15">
        <f>IF(G38&gt;0,I38/G38,0)</f>
        <v/>
      </c>
      <c r="K38" s="16">
        <f>G38-I38</f>
        <v/>
      </c>
      <c r="L38" s="14">
        <f>MAX(0,K38)</f>
        <v/>
      </c>
      <c r="M38" s="14">
        <f>MAX(0,-K38)</f>
        <v/>
      </c>
      <c r="N38" s="14">
        <f>M38</f>
        <v/>
      </c>
      <c r="O38" s="14">
        <f>IF(PARAMETROS!$E$28&gt;0,M38/PARAMETROS!$E$28,0)</f>
        <v/>
      </c>
      <c r="P38" s="15">
        <f>IF(PARAMETROS!$C$8="Nominal",IF(F38&gt;0,I38/F38,0),J38)</f>
        <v/>
      </c>
      <c r="Q38" s="12">
        <f>IF(C38="","",IF(I38=0,"SEM CARGA",IF(OR(G38=0,J38&gt;=PARAMETROS!$C$7),"INSUFICIENTE",IF(J38&gt;=PARAMETROS!$C$6,"ATENÇÃO","OK"))))</f>
        <v/>
      </c>
      <c r="R38" s="15">
        <f>IF(G38+H38&gt;0,I38/(G38+H38),0)</f>
        <v/>
      </c>
      <c r="S38" s="14">
        <f>G38/PARAMETROS!$C$4</f>
        <v/>
      </c>
      <c r="T38" s="14">
        <f>S38*PARAMETROS!$C$5</f>
        <v/>
      </c>
      <c r="U38" s="28">
        <f>IF(I38&gt;0,SUMIF(BASE!$E$6:$E$205,C38,BASE!$L$6:$L$205)*PARAMETROS!$E$25*G38/I38,0)</f>
        <v/>
      </c>
    </row>
    <row r="39">
      <c r="A39" s="11" t="n">
        <v>3</v>
      </c>
      <c r="B39" s="11" t="n">
        <v>4</v>
      </c>
      <c r="C39" s="11">
        <f>IF(MAO_OBRA!A9="","",MAO_OBRA!A9)</f>
        <v/>
      </c>
      <c r="D39" s="11">
        <f>IF(MAO_OBRA!B9="","",MAO_OBRA!B9)</f>
        <v/>
      </c>
      <c r="E39" s="13">
        <f>MAO_OBRA!Q9</f>
        <v/>
      </c>
      <c r="F39" s="14">
        <f>PARAMETROS!$C$4*(MAO_OBRA!I9*PARAMETROS!$E$18*PARAMETROS!$F$11+MAO_OBRA!J9*PARAMETROS!$E$19*PARAMETROS!$F$12+MAO_OBRA!K9*PARAMETROS!$E$20*PARAMETROS!$F$13)</f>
        <v/>
      </c>
      <c r="G39" s="14">
        <f>F39*PARAMETROS!$E$23*PARAMETROS!$E$24</f>
        <v/>
      </c>
      <c r="H39" s="14">
        <f>PARAMETROS!$E$22*PARAMETROS!$E$21*E39*PARAMETROS!$E$23*PARAMETROS!$E$24</f>
        <v/>
      </c>
      <c r="I39" s="14">
        <f>IF(C39="",0,PARAMETROS!$E$25/60*(IF(PARAMETROS!$E$27="Real",SUMPRODUCT((BASE!$E$6:$E$205=C39)*BASE!$P$6:$P$205*BASE!$L$6:$L$205*BASE!$N$6:$N$205),SUMPRODUCT((BASE!$E$6:$E$205=C39)*BASE!$P$6:$P$205*BASE!$L$6:$L$205*BASE!$H$6:$H$205))*PARAMETROS!$E$26+SUMPRODUCT((BASE!$E$6:$E$205=C39)*BASE!$P$6:$P$205*BASE!$L$6:$L$205*BASE!$O$6:$O$205)))</f>
        <v/>
      </c>
      <c r="J39" s="15">
        <f>IF(G39&gt;0,I39/G39,0)</f>
        <v/>
      </c>
      <c r="K39" s="16">
        <f>G39-I39</f>
        <v/>
      </c>
      <c r="L39" s="14">
        <f>MAX(0,K39)</f>
        <v/>
      </c>
      <c r="M39" s="14">
        <f>MAX(0,-K39)</f>
        <v/>
      </c>
      <c r="N39" s="14">
        <f>M39</f>
        <v/>
      </c>
      <c r="O39" s="14">
        <f>IF(PARAMETROS!$E$28&gt;0,M39/PARAMETROS!$E$28,0)</f>
        <v/>
      </c>
      <c r="P39" s="15">
        <f>IF(PARAMETROS!$C$8="Nominal",IF(F39&gt;0,I39/F39,0),J39)</f>
        <v/>
      </c>
      <c r="Q39" s="12">
        <f>IF(C39="","",IF(I39=0,"SEM CARGA",IF(OR(G39=0,J39&gt;=PARAMETROS!$C$7),"INSUFICIENTE",IF(J39&gt;=PARAMETROS!$C$6,"ATENÇÃO","OK"))))</f>
        <v/>
      </c>
      <c r="R39" s="15">
        <f>IF(G39+H39&gt;0,I39/(G39+H39),0)</f>
        <v/>
      </c>
      <c r="S39" s="14">
        <f>G39/PARAMETROS!$C$4</f>
        <v/>
      </c>
      <c r="T39" s="14">
        <f>S39*PARAMETROS!$C$5</f>
        <v/>
      </c>
      <c r="U39" s="28">
        <f>IF(I39&gt;0,SUMIF(BASE!$E$6:$E$205,C39,BASE!$L$6:$L$205)*PARAMETROS!$E$25*G39/I39,0)</f>
        <v/>
      </c>
    </row>
    <row r="40">
      <c r="A40" s="11" t="n">
        <v>3</v>
      </c>
      <c r="B40" s="11" t="n">
        <v>5</v>
      </c>
      <c r="C40" s="11">
        <f>IF(MAO_OBRA!A10="","",MAO_OBRA!A10)</f>
        <v/>
      </c>
      <c r="D40" s="11">
        <f>IF(MAO_OBRA!B10="","",MAO_OBRA!B10)</f>
        <v/>
      </c>
      <c r="E40" s="13">
        <f>MAO_OBRA!Q10</f>
        <v/>
      </c>
      <c r="F40" s="14">
        <f>PARAMETROS!$C$4*(MAO_OBRA!I10*PARAMETROS!$E$18*PARAMETROS!$F$11+MAO_OBRA!J10*PARAMETROS!$E$19*PARAMETROS!$F$12+MAO_OBRA!K10*PARAMETROS!$E$20*PARAMETROS!$F$13)</f>
        <v/>
      </c>
      <c r="G40" s="14">
        <f>F40*PARAMETROS!$E$23*PARAMETROS!$E$24</f>
        <v/>
      </c>
      <c r="H40" s="14">
        <f>PARAMETROS!$E$22*PARAMETROS!$E$21*E40*PARAMETROS!$E$23*PARAMETROS!$E$24</f>
        <v/>
      </c>
      <c r="I40" s="14">
        <f>IF(C40="",0,PARAMETROS!$E$25/60*(IF(PARAMETROS!$E$27="Real",SUMPRODUCT((BASE!$E$6:$E$205=C40)*BASE!$P$6:$P$205*BASE!$L$6:$L$205*BASE!$N$6:$N$205),SUMPRODUCT((BASE!$E$6:$E$205=C40)*BASE!$P$6:$P$205*BASE!$L$6:$L$205*BASE!$H$6:$H$205))*PARAMETROS!$E$26+SUMPRODUCT((BASE!$E$6:$E$205=C40)*BASE!$P$6:$P$205*BASE!$L$6:$L$205*BASE!$O$6:$O$205)))</f>
        <v/>
      </c>
      <c r="J40" s="15">
        <f>IF(G40&gt;0,I40/G40,0)</f>
        <v/>
      </c>
      <c r="K40" s="16">
        <f>G40-I40</f>
        <v/>
      </c>
      <c r="L40" s="14">
        <f>MAX(0,K40)</f>
        <v/>
      </c>
      <c r="M40" s="14">
        <f>MAX(0,-K40)</f>
        <v/>
      </c>
      <c r="N40" s="14">
        <f>M40</f>
        <v/>
      </c>
      <c r="O40" s="14">
        <f>IF(PARAMETROS!$E$28&gt;0,M40/PARAMETROS!$E$28,0)</f>
        <v/>
      </c>
      <c r="P40" s="15">
        <f>IF(PARAMETROS!$C$8="Nominal",IF(F40&gt;0,I40/F40,0),J40)</f>
        <v/>
      </c>
      <c r="Q40" s="12">
        <f>IF(C40="","",IF(I40=0,"SEM CARGA",IF(OR(G40=0,J40&gt;=PARAMETROS!$C$7),"INSUFICIENTE",IF(J40&gt;=PARAMETROS!$C$6,"ATENÇÃO","OK"))))</f>
        <v/>
      </c>
      <c r="R40" s="15">
        <f>IF(G40+H40&gt;0,I40/(G40+H40),0)</f>
        <v/>
      </c>
      <c r="S40" s="14">
        <f>G40/PARAMETROS!$C$4</f>
        <v/>
      </c>
      <c r="T40" s="14">
        <f>S40*PARAMETROS!$C$5</f>
        <v/>
      </c>
      <c r="U40" s="28">
        <f>IF(I40&gt;0,SUMIF(BASE!$E$6:$E$205,C40,BASE!$L$6:$L$205)*PARAMETROS!$E$25*G40/I40,0)</f>
        <v/>
      </c>
    </row>
    <row r="41">
      <c r="A41" s="11" t="n">
        <v>3</v>
      </c>
      <c r="B41" s="11" t="n">
        <v>6</v>
      </c>
      <c r="C41" s="11">
        <f>IF(MAO_OBRA!A11="","",MAO_OBRA!A11)</f>
        <v/>
      </c>
      <c r="D41" s="11">
        <f>IF(MAO_OBRA!B11="","",MAO_OBRA!B11)</f>
        <v/>
      </c>
      <c r="E41" s="13">
        <f>MAO_OBRA!Q11</f>
        <v/>
      </c>
      <c r="F41" s="14">
        <f>PARAMETROS!$C$4*(MAO_OBRA!I11*PARAMETROS!$E$18*PARAMETROS!$F$11+MAO_OBRA!J11*PARAMETROS!$E$19*PARAMETROS!$F$12+MAO_OBRA!K11*PARAMETROS!$E$20*PARAMETROS!$F$13)</f>
        <v/>
      </c>
      <c r="G41" s="14">
        <f>F41*PARAMETROS!$E$23*PARAMETROS!$E$24</f>
        <v/>
      </c>
      <c r="H41" s="14">
        <f>PARAMETROS!$E$22*PARAMETROS!$E$21*E41*PARAMETROS!$E$23*PARAMETROS!$E$24</f>
        <v/>
      </c>
      <c r="I41" s="14">
        <f>IF(C41="",0,PARAMETROS!$E$25/60*(IF(PARAMETROS!$E$27="Real",SUMPRODUCT((BASE!$E$6:$E$205=C41)*BASE!$P$6:$P$205*BASE!$L$6:$L$205*BASE!$N$6:$N$205),SUMPRODUCT((BASE!$E$6:$E$205=C41)*BASE!$P$6:$P$205*BASE!$L$6:$L$205*BASE!$H$6:$H$205))*PARAMETROS!$E$26+SUMPRODUCT((BASE!$E$6:$E$205=C41)*BASE!$P$6:$P$205*BASE!$L$6:$L$205*BASE!$O$6:$O$205)))</f>
        <v/>
      </c>
      <c r="J41" s="15">
        <f>IF(G41&gt;0,I41/G41,0)</f>
        <v/>
      </c>
      <c r="K41" s="16">
        <f>G41-I41</f>
        <v/>
      </c>
      <c r="L41" s="14">
        <f>MAX(0,K41)</f>
        <v/>
      </c>
      <c r="M41" s="14">
        <f>MAX(0,-K41)</f>
        <v/>
      </c>
      <c r="N41" s="14">
        <f>M41</f>
        <v/>
      </c>
      <c r="O41" s="14">
        <f>IF(PARAMETROS!$E$28&gt;0,M41/PARAMETROS!$E$28,0)</f>
        <v/>
      </c>
      <c r="P41" s="15">
        <f>IF(PARAMETROS!$C$8="Nominal",IF(F41&gt;0,I41/F41,0),J41)</f>
        <v/>
      </c>
      <c r="Q41" s="12">
        <f>IF(C41="","",IF(I41=0,"SEM CARGA",IF(OR(G41=0,J41&gt;=PARAMETROS!$C$7),"INSUFICIENTE",IF(J41&gt;=PARAMETROS!$C$6,"ATENÇÃO","OK"))))</f>
        <v/>
      </c>
      <c r="R41" s="15">
        <f>IF(G41+H41&gt;0,I41/(G41+H41),0)</f>
        <v/>
      </c>
      <c r="S41" s="14">
        <f>G41/PARAMETROS!$C$4</f>
        <v/>
      </c>
      <c r="T41" s="14">
        <f>S41*PARAMETROS!$C$5</f>
        <v/>
      </c>
      <c r="U41" s="28">
        <f>IF(I41&gt;0,SUMIF(BASE!$E$6:$E$205,C41,BASE!$L$6:$L$205)*PARAMETROS!$E$25*G41/I41,0)</f>
        <v/>
      </c>
    </row>
    <row r="42">
      <c r="A42" s="11" t="n">
        <v>3</v>
      </c>
      <c r="B42" s="11" t="n">
        <v>7</v>
      </c>
      <c r="C42" s="11">
        <f>IF(MAO_OBRA!A12="","",MAO_OBRA!A12)</f>
        <v/>
      </c>
      <c r="D42" s="11">
        <f>IF(MAO_OBRA!B12="","",MAO_OBRA!B12)</f>
        <v/>
      </c>
      <c r="E42" s="13">
        <f>MAO_OBRA!Q12</f>
        <v/>
      </c>
      <c r="F42" s="14">
        <f>PARAMETROS!$C$4*(MAO_OBRA!I12*PARAMETROS!$E$18*PARAMETROS!$F$11+MAO_OBRA!J12*PARAMETROS!$E$19*PARAMETROS!$F$12+MAO_OBRA!K12*PARAMETROS!$E$20*PARAMETROS!$F$13)</f>
        <v/>
      </c>
      <c r="G42" s="14">
        <f>F42*PARAMETROS!$E$23*PARAMETROS!$E$24</f>
        <v/>
      </c>
      <c r="H42" s="14">
        <f>PARAMETROS!$E$22*PARAMETROS!$E$21*E42*PARAMETROS!$E$23*PARAMETROS!$E$24</f>
        <v/>
      </c>
      <c r="I42" s="14">
        <f>IF(C42="",0,PARAMETROS!$E$25/60*(IF(PARAMETROS!$E$27="Real",SUMPRODUCT((BASE!$E$6:$E$205=C42)*BASE!$P$6:$P$205*BASE!$L$6:$L$205*BASE!$N$6:$N$205),SUMPRODUCT((BASE!$E$6:$E$205=C42)*BASE!$P$6:$P$205*BASE!$L$6:$L$205*BASE!$H$6:$H$205))*PARAMETROS!$E$26+SUMPRODUCT((BASE!$E$6:$E$205=C42)*BASE!$P$6:$P$205*BASE!$L$6:$L$205*BASE!$O$6:$O$205)))</f>
        <v/>
      </c>
      <c r="J42" s="15">
        <f>IF(G42&gt;0,I42/G42,0)</f>
        <v/>
      </c>
      <c r="K42" s="16">
        <f>G42-I42</f>
        <v/>
      </c>
      <c r="L42" s="14">
        <f>MAX(0,K42)</f>
        <v/>
      </c>
      <c r="M42" s="14">
        <f>MAX(0,-K42)</f>
        <v/>
      </c>
      <c r="N42" s="14">
        <f>M42</f>
        <v/>
      </c>
      <c r="O42" s="14">
        <f>IF(PARAMETROS!$E$28&gt;0,M42/PARAMETROS!$E$28,0)</f>
        <v/>
      </c>
      <c r="P42" s="15">
        <f>IF(PARAMETROS!$C$8="Nominal",IF(F42&gt;0,I42/F42,0),J42)</f>
        <v/>
      </c>
      <c r="Q42" s="12">
        <f>IF(C42="","",IF(I42=0,"SEM CARGA",IF(OR(G42=0,J42&gt;=PARAMETROS!$C$7),"INSUFICIENTE",IF(J42&gt;=PARAMETROS!$C$6,"ATENÇÃO","OK"))))</f>
        <v/>
      </c>
      <c r="R42" s="15">
        <f>IF(G42+H42&gt;0,I42/(G42+H42),0)</f>
        <v/>
      </c>
      <c r="S42" s="14">
        <f>G42/PARAMETROS!$C$4</f>
        <v/>
      </c>
      <c r="T42" s="14">
        <f>S42*PARAMETROS!$C$5</f>
        <v/>
      </c>
      <c r="U42" s="28">
        <f>IF(I42&gt;0,SUMIF(BASE!$E$6:$E$205,C42,BASE!$L$6:$L$205)*PARAMETROS!$E$25*G42/I42,0)</f>
        <v/>
      </c>
    </row>
    <row r="43">
      <c r="A43" s="11" t="n">
        <v>3</v>
      </c>
      <c r="B43" s="11" t="n">
        <v>8</v>
      </c>
      <c r="C43" s="11">
        <f>IF(MAO_OBRA!A13="","",MAO_OBRA!A13)</f>
        <v/>
      </c>
      <c r="D43" s="11">
        <f>IF(MAO_OBRA!B13="","",MAO_OBRA!B13)</f>
        <v/>
      </c>
      <c r="E43" s="13">
        <f>MAO_OBRA!Q13</f>
        <v/>
      </c>
      <c r="F43" s="14">
        <f>PARAMETROS!$C$4*(MAO_OBRA!I13*PARAMETROS!$E$18*PARAMETROS!$F$11+MAO_OBRA!J13*PARAMETROS!$E$19*PARAMETROS!$F$12+MAO_OBRA!K13*PARAMETROS!$E$20*PARAMETROS!$F$13)</f>
        <v/>
      </c>
      <c r="G43" s="14">
        <f>F43*PARAMETROS!$E$23*PARAMETROS!$E$24</f>
        <v/>
      </c>
      <c r="H43" s="14">
        <f>PARAMETROS!$E$22*PARAMETROS!$E$21*E43*PARAMETROS!$E$23*PARAMETROS!$E$24</f>
        <v/>
      </c>
      <c r="I43" s="14">
        <f>IF(C43="",0,PARAMETROS!$E$25/60*(IF(PARAMETROS!$E$27="Real",SUMPRODUCT((BASE!$E$6:$E$205=C43)*BASE!$P$6:$P$205*BASE!$L$6:$L$205*BASE!$N$6:$N$205),SUMPRODUCT((BASE!$E$6:$E$205=C43)*BASE!$P$6:$P$205*BASE!$L$6:$L$205*BASE!$H$6:$H$205))*PARAMETROS!$E$26+SUMPRODUCT((BASE!$E$6:$E$205=C43)*BASE!$P$6:$P$205*BASE!$L$6:$L$205*BASE!$O$6:$O$205)))</f>
        <v/>
      </c>
      <c r="J43" s="15">
        <f>IF(G43&gt;0,I43/G43,0)</f>
        <v/>
      </c>
      <c r="K43" s="16">
        <f>G43-I43</f>
        <v/>
      </c>
      <c r="L43" s="14">
        <f>MAX(0,K43)</f>
        <v/>
      </c>
      <c r="M43" s="14">
        <f>MAX(0,-K43)</f>
        <v/>
      </c>
      <c r="N43" s="14">
        <f>M43</f>
        <v/>
      </c>
      <c r="O43" s="14">
        <f>IF(PARAMETROS!$E$28&gt;0,M43/PARAMETROS!$E$28,0)</f>
        <v/>
      </c>
      <c r="P43" s="15">
        <f>IF(PARAMETROS!$C$8="Nominal",IF(F43&gt;0,I43/F43,0),J43)</f>
        <v/>
      </c>
      <c r="Q43" s="12">
        <f>IF(C43="","",IF(I43=0,"SEM CARGA",IF(OR(G43=0,J43&gt;=PARAMETROS!$C$7),"INSUFICIENTE",IF(J43&gt;=PARAMETROS!$C$6,"ATENÇÃO","OK"))))</f>
        <v/>
      </c>
      <c r="R43" s="15">
        <f>IF(G43+H43&gt;0,I43/(G43+H43),0)</f>
        <v/>
      </c>
      <c r="S43" s="14">
        <f>G43/PARAMETROS!$C$4</f>
        <v/>
      </c>
      <c r="T43" s="14">
        <f>S43*PARAMETROS!$C$5</f>
        <v/>
      </c>
      <c r="U43" s="28">
        <f>IF(I43&gt;0,SUMIF(BASE!$E$6:$E$205,C43,BASE!$L$6:$L$205)*PARAMETROS!$E$25*G43/I43,0)</f>
        <v/>
      </c>
    </row>
    <row r="44">
      <c r="A44" s="11" t="n">
        <v>3</v>
      </c>
      <c r="B44" s="11" t="n">
        <v>9</v>
      </c>
      <c r="C44" s="11">
        <f>IF(MAO_OBRA!A14="","",MAO_OBRA!A14)</f>
        <v/>
      </c>
      <c r="D44" s="11">
        <f>IF(MAO_OBRA!B14="","",MAO_OBRA!B14)</f>
        <v/>
      </c>
      <c r="E44" s="13">
        <f>MAO_OBRA!Q14</f>
        <v/>
      </c>
      <c r="F44" s="14">
        <f>PARAMETROS!$C$4*(MAO_OBRA!I14*PARAMETROS!$E$18*PARAMETROS!$F$11+MAO_OBRA!J14*PARAMETROS!$E$19*PARAMETROS!$F$12+MAO_OBRA!K14*PARAMETROS!$E$20*PARAMETROS!$F$13)</f>
        <v/>
      </c>
      <c r="G44" s="14">
        <f>F44*PARAMETROS!$E$23*PARAMETROS!$E$24</f>
        <v/>
      </c>
      <c r="H44" s="14">
        <f>PARAMETROS!$E$22*PARAMETROS!$E$21*E44*PARAMETROS!$E$23*PARAMETROS!$E$24</f>
        <v/>
      </c>
      <c r="I44" s="14">
        <f>IF(C44="",0,PARAMETROS!$E$25/60*(IF(PARAMETROS!$E$27="Real",SUMPRODUCT((BASE!$E$6:$E$205=C44)*BASE!$P$6:$P$205*BASE!$L$6:$L$205*BASE!$N$6:$N$205),SUMPRODUCT((BASE!$E$6:$E$205=C44)*BASE!$P$6:$P$205*BASE!$L$6:$L$205*BASE!$H$6:$H$205))*PARAMETROS!$E$26+SUMPRODUCT((BASE!$E$6:$E$205=C44)*BASE!$P$6:$P$205*BASE!$L$6:$L$205*BASE!$O$6:$O$205)))</f>
        <v/>
      </c>
      <c r="J44" s="15">
        <f>IF(G44&gt;0,I44/G44,0)</f>
        <v/>
      </c>
      <c r="K44" s="16">
        <f>G44-I44</f>
        <v/>
      </c>
      <c r="L44" s="14">
        <f>MAX(0,K44)</f>
        <v/>
      </c>
      <c r="M44" s="14">
        <f>MAX(0,-K44)</f>
        <v/>
      </c>
      <c r="N44" s="14">
        <f>M44</f>
        <v/>
      </c>
      <c r="O44" s="14">
        <f>IF(PARAMETROS!$E$28&gt;0,M44/PARAMETROS!$E$28,0)</f>
        <v/>
      </c>
      <c r="P44" s="15">
        <f>IF(PARAMETROS!$C$8="Nominal",IF(F44&gt;0,I44/F44,0),J44)</f>
        <v/>
      </c>
      <c r="Q44" s="12">
        <f>IF(C44="","",IF(I44=0,"SEM CARGA",IF(OR(G44=0,J44&gt;=PARAMETROS!$C$7),"INSUFICIENTE",IF(J44&gt;=PARAMETROS!$C$6,"ATENÇÃO","OK"))))</f>
        <v/>
      </c>
      <c r="R44" s="15">
        <f>IF(G44+H44&gt;0,I44/(G44+H44),0)</f>
        <v/>
      </c>
      <c r="S44" s="14">
        <f>G44/PARAMETROS!$C$4</f>
        <v/>
      </c>
      <c r="T44" s="14">
        <f>S44*PARAMETROS!$C$5</f>
        <v/>
      </c>
      <c r="U44" s="28">
        <f>IF(I44&gt;0,SUMIF(BASE!$E$6:$E$205,C44,BASE!$L$6:$L$205)*PARAMETROS!$E$25*G44/I44,0)</f>
        <v/>
      </c>
    </row>
    <row r="45">
      <c r="A45" s="11" t="n">
        <v>3</v>
      </c>
      <c r="B45" s="11" t="n">
        <v>10</v>
      </c>
      <c r="C45" s="11">
        <f>IF(MAO_OBRA!A15="","",MAO_OBRA!A15)</f>
        <v/>
      </c>
      <c r="D45" s="11">
        <f>IF(MAO_OBRA!B15="","",MAO_OBRA!B15)</f>
        <v/>
      </c>
      <c r="E45" s="13">
        <f>MAO_OBRA!Q15</f>
        <v/>
      </c>
      <c r="F45" s="14">
        <f>PARAMETROS!$C$4*(MAO_OBRA!I15*PARAMETROS!$E$18*PARAMETROS!$F$11+MAO_OBRA!J15*PARAMETROS!$E$19*PARAMETROS!$F$12+MAO_OBRA!K15*PARAMETROS!$E$20*PARAMETROS!$F$13)</f>
        <v/>
      </c>
      <c r="G45" s="14">
        <f>F45*PARAMETROS!$E$23*PARAMETROS!$E$24</f>
        <v/>
      </c>
      <c r="H45" s="14">
        <f>PARAMETROS!$E$22*PARAMETROS!$E$21*E45*PARAMETROS!$E$23*PARAMETROS!$E$24</f>
        <v/>
      </c>
      <c r="I45" s="14">
        <f>IF(C45="",0,PARAMETROS!$E$25/60*(IF(PARAMETROS!$E$27="Real",SUMPRODUCT((BASE!$E$6:$E$205=C45)*BASE!$P$6:$P$205*BASE!$L$6:$L$205*BASE!$N$6:$N$205),SUMPRODUCT((BASE!$E$6:$E$205=C45)*BASE!$P$6:$P$205*BASE!$L$6:$L$205*BASE!$H$6:$H$205))*PARAMETROS!$E$26+SUMPRODUCT((BASE!$E$6:$E$205=C45)*BASE!$P$6:$P$205*BASE!$L$6:$L$205*BASE!$O$6:$O$205)))</f>
        <v/>
      </c>
      <c r="J45" s="15">
        <f>IF(G45&gt;0,I45/G45,0)</f>
        <v/>
      </c>
      <c r="K45" s="16">
        <f>G45-I45</f>
        <v/>
      </c>
      <c r="L45" s="14">
        <f>MAX(0,K45)</f>
        <v/>
      </c>
      <c r="M45" s="14">
        <f>MAX(0,-K45)</f>
        <v/>
      </c>
      <c r="N45" s="14">
        <f>M45</f>
        <v/>
      </c>
      <c r="O45" s="14">
        <f>IF(PARAMETROS!$E$28&gt;0,M45/PARAMETROS!$E$28,0)</f>
        <v/>
      </c>
      <c r="P45" s="15">
        <f>IF(PARAMETROS!$C$8="Nominal",IF(F45&gt;0,I45/F45,0),J45)</f>
        <v/>
      </c>
      <c r="Q45" s="12">
        <f>IF(C45="","",IF(I45=0,"SEM CARGA",IF(OR(G45=0,J45&gt;=PARAMETROS!$C$7),"INSUFICIENTE",IF(J45&gt;=PARAMETROS!$C$6,"ATENÇÃO","OK"))))</f>
        <v/>
      </c>
      <c r="R45" s="15">
        <f>IF(G45+H45&gt;0,I45/(G45+H45),0)</f>
        <v/>
      </c>
      <c r="S45" s="14">
        <f>G45/PARAMETROS!$C$4</f>
        <v/>
      </c>
      <c r="T45" s="14">
        <f>S45*PARAMETROS!$C$5</f>
        <v/>
      </c>
      <c r="U45" s="28">
        <f>IF(I45&gt;0,SUMIF(BASE!$E$6:$E$205,C45,BASE!$L$6:$L$205)*PARAMETROS!$E$25*G45/I45,0)</f>
        <v/>
      </c>
    </row>
    <row r="46">
      <c r="A46" s="11" t="n">
        <v>3</v>
      </c>
      <c r="B46" s="11" t="n">
        <v>11</v>
      </c>
      <c r="C46" s="11">
        <f>IF(MAO_OBRA!A16="","",MAO_OBRA!A16)</f>
        <v/>
      </c>
      <c r="D46" s="11">
        <f>IF(MAO_OBRA!B16="","",MAO_OBRA!B16)</f>
        <v/>
      </c>
      <c r="E46" s="13">
        <f>MAO_OBRA!Q16</f>
        <v/>
      </c>
      <c r="F46" s="14">
        <f>PARAMETROS!$C$4*(MAO_OBRA!I16*PARAMETROS!$E$18*PARAMETROS!$F$11+MAO_OBRA!J16*PARAMETROS!$E$19*PARAMETROS!$F$12+MAO_OBRA!K16*PARAMETROS!$E$20*PARAMETROS!$F$13)</f>
        <v/>
      </c>
      <c r="G46" s="14">
        <f>F46*PARAMETROS!$E$23*PARAMETROS!$E$24</f>
        <v/>
      </c>
      <c r="H46" s="14">
        <f>PARAMETROS!$E$22*PARAMETROS!$E$21*E46*PARAMETROS!$E$23*PARAMETROS!$E$24</f>
        <v/>
      </c>
      <c r="I46" s="14">
        <f>IF(C46="",0,PARAMETROS!$E$25/60*(IF(PARAMETROS!$E$27="Real",SUMPRODUCT((BASE!$E$6:$E$205=C46)*BASE!$P$6:$P$205*BASE!$L$6:$L$205*BASE!$N$6:$N$205),SUMPRODUCT((BASE!$E$6:$E$205=C46)*BASE!$P$6:$P$205*BASE!$L$6:$L$205*BASE!$H$6:$H$205))*PARAMETROS!$E$26+SUMPRODUCT((BASE!$E$6:$E$205=C46)*BASE!$P$6:$P$205*BASE!$L$6:$L$205*BASE!$O$6:$O$205)))</f>
        <v/>
      </c>
      <c r="J46" s="15">
        <f>IF(G46&gt;0,I46/G46,0)</f>
        <v/>
      </c>
      <c r="K46" s="16">
        <f>G46-I46</f>
        <v/>
      </c>
      <c r="L46" s="14">
        <f>MAX(0,K46)</f>
        <v/>
      </c>
      <c r="M46" s="14">
        <f>MAX(0,-K46)</f>
        <v/>
      </c>
      <c r="N46" s="14">
        <f>M46</f>
        <v/>
      </c>
      <c r="O46" s="14">
        <f>IF(PARAMETROS!$E$28&gt;0,M46/PARAMETROS!$E$28,0)</f>
        <v/>
      </c>
      <c r="P46" s="15">
        <f>IF(PARAMETROS!$C$8="Nominal",IF(F46&gt;0,I46/F46,0),J46)</f>
        <v/>
      </c>
      <c r="Q46" s="12">
        <f>IF(C46="","",IF(I46=0,"SEM CARGA",IF(OR(G46=0,J46&gt;=PARAMETROS!$C$7),"INSUFICIENTE",IF(J46&gt;=PARAMETROS!$C$6,"ATENÇÃO","OK"))))</f>
        <v/>
      </c>
      <c r="R46" s="15">
        <f>IF(G46+H46&gt;0,I46/(G46+H46),0)</f>
        <v/>
      </c>
      <c r="S46" s="14">
        <f>G46/PARAMETROS!$C$4</f>
        <v/>
      </c>
      <c r="T46" s="14">
        <f>S46*PARAMETROS!$C$5</f>
        <v/>
      </c>
      <c r="U46" s="28">
        <f>IF(I46&gt;0,SUMIF(BASE!$E$6:$E$205,C46,BASE!$L$6:$L$205)*PARAMETROS!$E$25*G46/I46,0)</f>
        <v/>
      </c>
    </row>
    <row r="47">
      <c r="A47" s="11" t="n">
        <v>3</v>
      </c>
      <c r="B47" s="11" t="n">
        <v>12</v>
      </c>
      <c r="C47" s="11">
        <f>IF(MAO_OBRA!A17="","",MAO_OBRA!A17)</f>
        <v/>
      </c>
      <c r="D47" s="11">
        <f>IF(MAO_OBRA!B17="","",MAO_OBRA!B17)</f>
        <v/>
      </c>
      <c r="E47" s="13">
        <f>MAO_OBRA!Q17</f>
        <v/>
      </c>
      <c r="F47" s="14">
        <f>PARAMETROS!$C$4*(MAO_OBRA!I17*PARAMETROS!$E$18*PARAMETROS!$F$11+MAO_OBRA!J17*PARAMETROS!$E$19*PARAMETROS!$F$12+MAO_OBRA!K17*PARAMETROS!$E$20*PARAMETROS!$F$13)</f>
        <v/>
      </c>
      <c r="G47" s="14">
        <f>F47*PARAMETROS!$E$23*PARAMETROS!$E$24</f>
        <v/>
      </c>
      <c r="H47" s="14">
        <f>PARAMETROS!$E$22*PARAMETROS!$E$21*E47*PARAMETROS!$E$23*PARAMETROS!$E$24</f>
        <v/>
      </c>
      <c r="I47" s="14">
        <f>IF(C47="",0,PARAMETROS!$E$25/60*(IF(PARAMETROS!$E$27="Real",SUMPRODUCT((BASE!$E$6:$E$205=C47)*BASE!$P$6:$P$205*BASE!$L$6:$L$205*BASE!$N$6:$N$205),SUMPRODUCT((BASE!$E$6:$E$205=C47)*BASE!$P$6:$P$205*BASE!$L$6:$L$205*BASE!$H$6:$H$205))*PARAMETROS!$E$26+SUMPRODUCT((BASE!$E$6:$E$205=C47)*BASE!$P$6:$P$205*BASE!$L$6:$L$205*BASE!$O$6:$O$205)))</f>
        <v/>
      </c>
      <c r="J47" s="15">
        <f>IF(G47&gt;0,I47/G47,0)</f>
        <v/>
      </c>
      <c r="K47" s="16">
        <f>G47-I47</f>
        <v/>
      </c>
      <c r="L47" s="14">
        <f>MAX(0,K47)</f>
        <v/>
      </c>
      <c r="M47" s="14">
        <f>MAX(0,-K47)</f>
        <v/>
      </c>
      <c r="N47" s="14">
        <f>M47</f>
        <v/>
      </c>
      <c r="O47" s="14">
        <f>IF(PARAMETROS!$E$28&gt;0,M47/PARAMETROS!$E$28,0)</f>
        <v/>
      </c>
      <c r="P47" s="15">
        <f>IF(PARAMETROS!$C$8="Nominal",IF(F47&gt;0,I47/F47,0),J47)</f>
        <v/>
      </c>
      <c r="Q47" s="12">
        <f>IF(C47="","",IF(I47=0,"SEM CARGA",IF(OR(G47=0,J47&gt;=PARAMETROS!$C$7),"INSUFICIENTE",IF(J47&gt;=PARAMETROS!$C$6,"ATENÇÃO","OK"))))</f>
        <v/>
      </c>
      <c r="R47" s="15">
        <f>IF(G47+H47&gt;0,I47/(G47+H47),0)</f>
        <v/>
      </c>
      <c r="S47" s="14">
        <f>G47/PARAMETROS!$C$4</f>
        <v/>
      </c>
      <c r="T47" s="14">
        <f>S47*PARAMETROS!$C$5</f>
        <v/>
      </c>
      <c r="U47" s="28">
        <f>IF(I47&gt;0,SUMIF(BASE!$E$6:$E$205,C47,BASE!$L$6:$L$205)*PARAMETROS!$E$25*G47/I47,0)</f>
        <v/>
      </c>
    </row>
    <row r="48">
      <c r="A48" s="11" t="n">
        <v>3</v>
      </c>
      <c r="B48" s="11" t="n">
        <v>13</v>
      </c>
      <c r="C48" s="11">
        <f>IF(MAO_OBRA!A18="","",MAO_OBRA!A18)</f>
        <v/>
      </c>
      <c r="D48" s="11">
        <f>IF(MAO_OBRA!B18="","",MAO_OBRA!B18)</f>
        <v/>
      </c>
      <c r="E48" s="13">
        <f>MAO_OBRA!Q18</f>
        <v/>
      </c>
      <c r="F48" s="14">
        <f>PARAMETROS!$C$4*(MAO_OBRA!I18*PARAMETROS!$E$18*PARAMETROS!$F$11+MAO_OBRA!J18*PARAMETROS!$E$19*PARAMETROS!$F$12+MAO_OBRA!K18*PARAMETROS!$E$20*PARAMETROS!$F$13)</f>
        <v/>
      </c>
      <c r="G48" s="14">
        <f>F48*PARAMETROS!$E$23*PARAMETROS!$E$24</f>
        <v/>
      </c>
      <c r="H48" s="14">
        <f>PARAMETROS!$E$22*PARAMETROS!$E$21*E48*PARAMETROS!$E$23*PARAMETROS!$E$24</f>
        <v/>
      </c>
      <c r="I48" s="14">
        <f>IF(C48="",0,PARAMETROS!$E$25/60*(IF(PARAMETROS!$E$27="Real",SUMPRODUCT((BASE!$E$6:$E$205=C48)*BASE!$P$6:$P$205*BASE!$L$6:$L$205*BASE!$N$6:$N$205),SUMPRODUCT((BASE!$E$6:$E$205=C48)*BASE!$P$6:$P$205*BASE!$L$6:$L$205*BASE!$H$6:$H$205))*PARAMETROS!$E$26+SUMPRODUCT((BASE!$E$6:$E$205=C48)*BASE!$P$6:$P$205*BASE!$L$6:$L$205*BASE!$O$6:$O$205)))</f>
        <v/>
      </c>
      <c r="J48" s="15">
        <f>IF(G48&gt;0,I48/G48,0)</f>
        <v/>
      </c>
      <c r="K48" s="16">
        <f>G48-I48</f>
        <v/>
      </c>
      <c r="L48" s="14">
        <f>MAX(0,K48)</f>
        <v/>
      </c>
      <c r="M48" s="14">
        <f>MAX(0,-K48)</f>
        <v/>
      </c>
      <c r="N48" s="14">
        <f>M48</f>
        <v/>
      </c>
      <c r="O48" s="14">
        <f>IF(PARAMETROS!$E$28&gt;0,M48/PARAMETROS!$E$28,0)</f>
        <v/>
      </c>
      <c r="P48" s="15">
        <f>IF(PARAMETROS!$C$8="Nominal",IF(F48&gt;0,I48/F48,0),J48)</f>
        <v/>
      </c>
      <c r="Q48" s="12">
        <f>IF(C48="","",IF(I48=0,"SEM CARGA",IF(OR(G48=0,J48&gt;=PARAMETROS!$C$7),"INSUFICIENTE",IF(J48&gt;=PARAMETROS!$C$6,"ATENÇÃO","OK"))))</f>
        <v/>
      </c>
      <c r="R48" s="15">
        <f>IF(G48+H48&gt;0,I48/(G48+H48),0)</f>
        <v/>
      </c>
      <c r="S48" s="14">
        <f>G48/PARAMETROS!$C$4</f>
        <v/>
      </c>
      <c r="T48" s="14">
        <f>S48*PARAMETROS!$C$5</f>
        <v/>
      </c>
      <c r="U48" s="28">
        <f>IF(I48&gt;0,SUMIF(BASE!$E$6:$E$205,C48,BASE!$L$6:$L$205)*PARAMETROS!$E$25*G48/I48,0)</f>
        <v/>
      </c>
    </row>
    <row r="49">
      <c r="A49" s="11" t="n">
        <v>3</v>
      </c>
      <c r="B49" s="11" t="n">
        <v>14</v>
      </c>
      <c r="C49" s="11">
        <f>IF(MAO_OBRA!A19="","",MAO_OBRA!A19)</f>
        <v/>
      </c>
      <c r="D49" s="11">
        <f>IF(MAO_OBRA!B19="","",MAO_OBRA!B19)</f>
        <v/>
      </c>
      <c r="E49" s="13">
        <f>MAO_OBRA!Q19</f>
        <v/>
      </c>
      <c r="F49" s="14">
        <f>PARAMETROS!$C$4*(MAO_OBRA!I19*PARAMETROS!$E$18*PARAMETROS!$F$11+MAO_OBRA!J19*PARAMETROS!$E$19*PARAMETROS!$F$12+MAO_OBRA!K19*PARAMETROS!$E$20*PARAMETROS!$F$13)</f>
        <v/>
      </c>
      <c r="G49" s="14">
        <f>F49*PARAMETROS!$E$23*PARAMETROS!$E$24</f>
        <v/>
      </c>
      <c r="H49" s="14">
        <f>PARAMETROS!$E$22*PARAMETROS!$E$21*E49*PARAMETROS!$E$23*PARAMETROS!$E$24</f>
        <v/>
      </c>
      <c r="I49" s="14">
        <f>IF(C49="",0,PARAMETROS!$E$25/60*(IF(PARAMETROS!$E$27="Real",SUMPRODUCT((BASE!$E$6:$E$205=C49)*BASE!$P$6:$P$205*BASE!$L$6:$L$205*BASE!$N$6:$N$205),SUMPRODUCT((BASE!$E$6:$E$205=C49)*BASE!$P$6:$P$205*BASE!$L$6:$L$205*BASE!$H$6:$H$205))*PARAMETROS!$E$26+SUMPRODUCT((BASE!$E$6:$E$205=C49)*BASE!$P$6:$P$205*BASE!$L$6:$L$205*BASE!$O$6:$O$205)))</f>
        <v/>
      </c>
      <c r="J49" s="15">
        <f>IF(G49&gt;0,I49/G49,0)</f>
        <v/>
      </c>
      <c r="K49" s="16">
        <f>G49-I49</f>
        <v/>
      </c>
      <c r="L49" s="14">
        <f>MAX(0,K49)</f>
        <v/>
      </c>
      <c r="M49" s="14">
        <f>MAX(0,-K49)</f>
        <v/>
      </c>
      <c r="N49" s="14">
        <f>M49</f>
        <v/>
      </c>
      <c r="O49" s="14">
        <f>IF(PARAMETROS!$E$28&gt;0,M49/PARAMETROS!$E$28,0)</f>
        <v/>
      </c>
      <c r="P49" s="15">
        <f>IF(PARAMETROS!$C$8="Nominal",IF(F49&gt;0,I49/F49,0),J49)</f>
        <v/>
      </c>
      <c r="Q49" s="12">
        <f>IF(C49="","",IF(I49=0,"SEM CARGA",IF(OR(G49=0,J49&gt;=PARAMETROS!$C$7),"INSUFICIENTE",IF(J49&gt;=PARAMETROS!$C$6,"ATENÇÃO","OK"))))</f>
        <v/>
      </c>
      <c r="R49" s="15">
        <f>IF(G49+H49&gt;0,I49/(G49+H49),0)</f>
        <v/>
      </c>
      <c r="S49" s="14">
        <f>G49/PARAMETROS!$C$4</f>
        <v/>
      </c>
      <c r="T49" s="14">
        <f>S49*PARAMETROS!$C$5</f>
        <v/>
      </c>
      <c r="U49" s="28">
        <f>IF(I49&gt;0,SUMIF(BASE!$E$6:$E$205,C49,BASE!$L$6:$L$205)*PARAMETROS!$E$25*G49/I49,0)</f>
        <v/>
      </c>
    </row>
    <row r="50">
      <c r="A50" s="11" t="n">
        <v>3</v>
      </c>
      <c r="B50" s="11" t="n">
        <v>15</v>
      </c>
      <c r="C50" s="11">
        <f>IF(MAO_OBRA!A20="","",MAO_OBRA!A20)</f>
        <v/>
      </c>
      <c r="D50" s="11">
        <f>IF(MAO_OBRA!B20="","",MAO_OBRA!B20)</f>
        <v/>
      </c>
      <c r="E50" s="13">
        <f>MAO_OBRA!Q20</f>
        <v/>
      </c>
      <c r="F50" s="14">
        <f>PARAMETROS!$C$4*(MAO_OBRA!I20*PARAMETROS!$E$18*PARAMETROS!$F$11+MAO_OBRA!J20*PARAMETROS!$E$19*PARAMETROS!$F$12+MAO_OBRA!K20*PARAMETROS!$E$20*PARAMETROS!$F$13)</f>
        <v/>
      </c>
      <c r="G50" s="14">
        <f>F50*PARAMETROS!$E$23*PARAMETROS!$E$24</f>
        <v/>
      </c>
      <c r="H50" s="14">
        <f>PARAMETROS!$E$22*PARAMETROS!$E$21*E50*PARAMETROS!$E$23*PARAMETROS!$E$24</f>
        <v/>
      </c>
      <c r="I50" s="14">
        <f>IF(C50="",0,PARAMETROS!$E$25/60*(IF(PARAMETROS!$E$27="Real",SUMPRODUCT((BASE!$E$6:$E$205=C50)*BASE!$P$6:$P$205*BASE!$L$6:$L$205*BASE!$N$6:$N$205),SUMPRODUCT((BASE!$E$6:$E$205=C50)*BASE!$P$6:$P$205*BASE!$L$6:$L$205*BASE!$H$6:$H$205))*PARAMETROS!$E$26+SUMPRODUCT((BASE!$E$6:$E$205=C50)*BASE!$P$6:$P$205*BASE!$L$6:$L$205*BASE!$O$6:$O$205)))</f>
        <v/>
      </c>
      <c r="J50" s="15">
        <f>IF(G50&gt;0,I50/G50,0)</f>
        <v/>
      </c>
      <c r="K50" s="16">
        <f>G50-I50</f>
        <v/>
      </c>
      <c r="L50" s="14">
        <f>MAX(0,K50)</f>
        <v/>
      </c>
      <c r="M50" s="14">
        <f>MAX(0,-K50)</f>
        <v/>
      </c>
      <c r="N50" s="14">
        <f>M50</f>
        <v/>
      </c>
      <c r="O50" s="14">
        <f>IF(PARAMETROS!$E$28&gt;0,M50/PARAMETROS!$E$28,0)</f>
        <v/>
      </c>
      <c r="P50" s="15">
        <f>IF(PARAMETROS!$C$8="Nominal",IF(F50&gt;0,I50/F50,0),J50)</f>
        <v/>
      </c>
      <c r="Q50" s="12">
        <f>IF(C50="","",IF(I50=0,"SEM CARGA",IF(OR(G50=0,J50&gt;=PARAMETROS!$C$7),"INSUFICIENTE",IF(J50&gt;=PARAMETROS!$C$6,"ATENÇÃO","OK"))))</f>
        <v/>
      </c>
      <c r="R50" s="15">
        <f>IF(G50+H50&gt;0,I50/(G50+H50),0)</f>
        <v/>
      </c>
      <c r="S50" s="14">
        <f>G50/PARAMETROS!$C$4</f>
        <v/>
      </c>
      <c r="T50" s="14">
        <f>S50*PARAMETROS!$C$5</f>
        <v/>
      </c>
      <c r="U50" s="28">
        <f>IF(I50&gt;0,SUMIF(BASE!$E$6:$E$205,C50,BASE!$L$6:$L$205)*PARAMETROS!$E$25*G50/I50,0)</f>
        <v/>
      </c>
    </row>
    <row r="51">
      <c r="A51" s="11" t="n">
        <v>4</v>
      </c>
      <c r="B51" s="11" t="n">
        <v>1</v>
      </c>
      <c r="C51" s="11">
        <f>IF(MAO_OBRA!A6="","",MAO_OBRA!A6)</f>
        <v/>
      </c>
      <c r="D51" s="11">
        <f>IF(MAO_OBRA!B6="","",MAO_OBRA!B6)</f>
        <v/>
      </c>
      <c r="E51" s="13">
        <f>MAO_OBRA!R6</f>
        <v/>
      </c>
      <c r="F51" s="14">
        <f>PARAMETROS!$C$4*(MAO_OBRA!L6*PARAMETROS!$F$18*PARAMETROS!$F$11+MAO_OBRA!M6*PARAMETROS!$F$19*PARAMETROS!$F$12+MAO_OBRA!N6*PARAMETROS!$F$20*PARAMETROS!$F$13)</f>
        <v/>
      </c>
      <c r="G51" s="14">
        <f>F51*PARAMETROS!$F$23*PARAMETROS!$F$24</f>
        <v/>
      </c>
      <c r="H51" s="14">
        <f>PARAMETROS!$F$22*PARAMETROS!$F$21*E51*PARAMETROS!$F$23*PARAMETROS!$F$24</f>
        <v/>
      </c>
      <c r="I51" s="14">
        <f>IF(C51="",0,PARAMETROS!$F$25/60*(IF(PARAMETROS!$F$27="Real",SUMPRODUCT((BASE!$E$6:$E$205=C51)*BASE!$P$6:$P$205*BASE!$L$6:$L$205*BASE!$N$6:$N$205),SUMPRODUCT((BASE!$E$6:$E$205=C51)*BASE!$P$6:$P$205*BASE!$L$6:$L$205*BASE!$H$6:$H$205))*PARAMETROS!$F$26+SUMPRODUCT((BASE!$E$6:$E$205=C51)*BASE!$P$6:$P$205*BASE!$L$6:$L$205*BASE!$O$6:$O$205)))</f>
        <v/>
      </c>
      <c r="J51" s="15">
        <f>IF(G51&gt;0,I51/G51,0)</f>
        <v/>
      </c>
      <c r="K51" s="16">
        <f>G51-I51</f>
        <v/>
      </c>
      <c r="L51" s="14">
        <f>MAX(0,K51)</f>
        <v/>
      </c>
      <c r="M51" s="14">
        <f>MAX(0,-K51)</f>
        <v/>
      </c>
      <c r="N51" s="14">
        <f>M51</f>
        <v/>
      </c>
      <c r="O51" s="14">
        <f>IF(PARAMETROS!$F$28&gt;0,M51/PARAMETROS!$F$28,0)</f>
        <v/>
      </c>
      <c r="P51" s="15">
        <f>IF(PARAMETROS!$C$8="Nominal",IF(F51&gt;0,I51/F51,0),J51)</f>
        <v/>
      </c>
      <c r="Q51" s="12">
        <f>IF(C51="","",IF(I51=0,"SEM CARGA",IF(OR(G51=0,J51&gt;=PARAMETROS!$C$7),"INSUFICIENTE",IF(J51&gt;=PARAMETROS!$C$6,"ATENÇÃO","OK"))))</f>
        <v/>
      </c>
      <c r="R51" s="15">
        <f>IF(G51+H51&gt;0,I51/(G51+H51),0)</f>
        <v/>
      </c>
      <c r="S51" s="14">
        <f>G51/PARAMETROS!$C$4</f>
        <v/>
      </c>
      <c r="T51" s="14">
        <f>S51*PARAMETROS!$C$5</f>
        <v/>
      </c>
      <c r="U51" s="28">
        <f>IF(I51&gt;0,SUMIF(BASE!$E$6:$E$205,C51,BASE!$L$6:$L$205)*PARAMETROS!$F$25*G51/I51,0)</f>
        <v/>
      </c>
    </row>
    <row r="52">
      <c r="A52" s="11" t="n">
        <v>4</v>
      </c>
      <c r="B52" s="11" t="n">
        <v>2</v>
      </c>
      <c r="C52" s="11">
        <f>IF(MAO_OBRA!A7="","",MAO_OBRA!A7)</f>
        <v/>
      </c>
      <c r="D52" s="11">
        <f>IF(MAO_OBRA!B7="","",MAO_OBRA!B7)</f>
        <v/>
      </c>
      <c r="E52" s="13">
        <f>MAO_OBRA!R7</f>
        <v/>
      </c>
      <c r="F52" s="14">
        <f>PARAMETROS!$C$4*(MAO_OBRA!L7*PARAMETROS!$F$18*PARAMETROS!$F$11+MAO_OBRA!M7*PARAMETROS!$F$19*PARAMETROS!$F$12+MAO_OBRA!N7*PARAMETROS!$F$20*PARAMETROS!$F$13)</f>
        <v/>
      </c>
      <c r="G52" s="14">
        <f>F52*PARAMETROS!$F$23*PARAMETROS!$F$24</f>
        <v/>
      </c>
      <c r="H52" s="14">
        <f>PARAMETROS!$F$22*PARAMETROS!$F$21*E52*PARAMETROS!$F$23*PARAMETROS!$F$24</f>
        <v/>
      </c>
      <c r="I52" s="14">
        <f>IF(C52="",0,PARAMETROS!$F$25/60*(IF(PARAMETROS!$F$27="Real",SUMPRODUCT((BASE!$E$6:$E$205=C52)*BASE!$P$6:$P$205*BASE!$L$6:$L$205*BASE!$N$6:$N$205),SUMPRODUCT((BASE!$E$6:$E$205=C52)*BASE!$P$6:$P$205*BASE!$L$6:$L$205*BASE!$H$6:$H$205))*PARAMETROS!$F$26+SUMPRODUCT((BASE!$E$6:$E$205=C52)*BASE!$P$6:$P$205*BASE!$L$6:$L$205*BASE!$O$6:$O$205)))</f>
        <v/>
      </c>
      <c r="J52" s="15">
        <f>IF(G52&gt;0,I52/G52,0)</f>
        <v/>
      </c>
      <c r="K52" s="16">
        <f>G52-I52</f>
        <v/>
      </c>
      <c r="L52" s="14">
        <f>MAX(0,K52)</f>
        <v/>
      </c>
      <c r="M52" s="14">
        <f>MAX(0,-K52)</f>
        <v/>
      </c>
      <c r="N52" s="14">
        <f>M52</f>
        <v/>
      </c>
      <c r="O52" s="14">
        <f>IF(PARAMETROS!$F$28&gt;0,M52/PARAMETROS!$F$28,0)</f>
        <v/>
      </c>
      <c r="P52" s="15">
        <f>IF(PARAMETROS!$C$8="Nominal",IF(F52&gt;0,I52/F52,0),J52)</f>
        <v/>
      </c>
      <c r="Q52" s="12">
        <f>IF(C52="","",IF(I52=0,"SEM CARGA",IF(OR(G52=0,J52&gt;=PARAMETROS!$C$7),"INSUFICIENTE",IF(J52&gt;=PARAMETROS!$C$6,"ATENÇÃO","OK"))))</f>
        <v/>
      </c>
      <c r="R52" s="15">
        <f>IF(G52+H52&gt;0,I52/(G52+H52),0)</f>
        <v/>
      </c>
      <c r="S52" s="14">
        <f>G52/PARAMETROS!$C$4</f>
        <v/>
      </c>
      <c r="T52" s="14">
        <f>S52*PARAMETROS!$C$5</f>
        <v/>
      </c>
      <c r="U52" s="28">
        <f>IF(I52&gt;0,SUMIF(BASE!$E$6:$E$205,C52,BASE!$L$6:$L$205)*PARAMETROS!$F$25*G52/I52,0)</f>
        <v/>
      </c>
    </row>
    <row r="53">
      <c r="A53" s="11" t="n">
        <v>4</v>
      </c>
      <c r="B53" s="11" t="n">
        <v>3</v>
      </c>
      <c r="C53" s="11">
        <f>IF(MAO_OBRA!A8="","",MAO_OBRA!A8)</f>
        <v/>
      </c>
      <c r="D53" s="11">
        <f>IF(MAO_OBRA!B8="","",MAO_OBRA!B8)</f>
        <v/>
      </c>
      <c r="E53" s="13">
        <f>MAO_OBRA!R8</f>
        <v/>
      </c>
      <c r="F53" s="14">
        <f>PARAMETROS!$C$4*(MAO_OBRA!L8*PARAMETROS!$F$18*PARAMETROS!$F$11+MAO_OBRA!M8*PARAMETROS!$F$19*PARAMETROS!$F$12+MAO_OBRA!N8*PARAMETROS!$F$20*PARAMETROS!$F$13)</f>
        <v/>
      </c>
      <c r="G53" s="14">
        <f>F53*PARAMETROS!$F$23*PARAMETROS!$F$24</f>
        <v/>
      </c>
      <c r="H53" s="14">
        <f>PARAMETROS!$F$22*PARAMETROS!$F$21*E53*PARAMETROS!$F$23*PARAMETROS!$F$24</f>
        <v/>
      </c>
      <c r="I53" s="14">
        <f>IF(C53="",0,PARAMETROS!$F$25/60*(IF(PARAMETROS!$F$27="Real",SUMPRODUCT((BASE!$E$6:$E$205=C53)*BASE!$P$6:$P$205*BASE!$L$6:$L$205*BASE!$N$6:$N$205),SUMPRODUCT((BASE!$E$6:$E$205=C53)*BASE!$P$6:$P$205*BASE!$L$6:$L$205*BASE!$H$6:$H$205))*PARAMETROS!$F$26+SUMPRODUCT((BASE!$E$6:$E$205=C53)*BASE!$P$6:$P$205*BASE!$L$6:$L$205*BASE!$O$6:$O$205)))</f>
        <v/>
      </c>
      <c r="J53" s="15">
        <f>IF(G53&gt;0,I53/G53,0)</f>
        <v/>
      </c>
      <c r="K53" s="16">
        <f>G53-I53</f>
        <v/>
      </c>
      <c r="L53" s="14">
        <f>MAX(0,K53)</f>
        <v/>
      </c>
      <c r="M53" s="14">
        <f>MAX(0,-K53)</f>
        <v/>
      </c>
      <c r="N53" s="14">
        <f>M53</f>
        <v/>
      </c>
      <c r="O53" s="14">
        <f>IF(PARAMETROS!$F$28&gt;0,M53/PARAMETROS!$F$28,0)</f>
        <v/>
      </c>
      <c r="P53" s="15">
        <f>IF(PARAMETROS!$C$8="Nominal",IF(F53&gt;0,I53/F53,0),J53)</f>
        <v/>
      </c>
      <c r="Q53" s="12">
        <f>IF(C53="","",IF(I53=0,"SEM CARGA",IF(OR(G53=0,J53&gt;=PARAMETROS!$C$7),"INSUFICIENTE",IF(J53&gt;=PARAMETROS!$C$6,"ATENÇÃO","OK"))))</f>
        <v/>
      </c>
      <c r="R53" s="15">
        <f>IF(G53+H53&gt;0,I53/(G53+H53),0)</f>
        <v/>
      </c>
      <c r="S53" s="14">
        <f>G53/PARAMETROS!$C$4</f>
        <v/>
      </c>
      <c r="T53" s="14">
        <f>S53*PARAMETROS!$C$5</f>
        <v/>
      </c>
      <c r="U53" s="28">
        <f>IF(I53&gt;0,SUMIF(BASE!$E$6:$E$205,C53,BASE!$L$6:$L$205)*PARAMETROS!$F$25*G53/I53,0)</f>
        <v/>
      </c>
    </row>
    <row r="54">
      <c r="A54" s="11" t="n">
        <v>4</v>
      </c>
      <c r="B54" s="11" t="n">
        <v>4</v>
      </c>
      <c r="C54" s="11">
        <f>IF(MAO_OBRA!A9="","",MAO_OBRA!A9)</f>
        <v/>
      </c>
      <c r="D54" s="11">
        <f>IF(MAO_OBRA!B9="","",MAO_OBRA!B9)</f>
        <v/>
      </c>
      <c r="E54" s="13">
        <f>MAO_OBRA!R9</f>
        <v/>
      </c>
      <c r="F54" s="14">
        <f>PARAMETROS!$C$4*(MAO_OBRA!L9*PARAMETROS!$F$18*PARAMETROS!$F$11+MAO_OBRA!M9*PARAMETROS!$F$19*PARAMETROS!$F$12+MAO_OBRA!N9*PARAMETROS!$F$20*PARAMETROS!$F$13)</f>
        <v/>
      </c>
      <c r="G54" s="14">
        <f>F54*PARAMETROS!$F$23*PARAMETROS!$F$24</f>
        <v/>
      </c>
      <c r="H54" s="14">
        <f>PARAMETROS!$F$22*PARAMETROS!$F$21*E54*PARAMETROS!$F$23*PARAMETROS!$F$24</f>
        <v/>
      </c>
      <c r="I54" s="14">
        <f>IF(C54="",0,PARAMETROS!$F$25/60*(IF(PARAMETROS!$F$27="Real",SUMPRODUCT((BASE!$E$6:$E$205=C54)*BASE!$P$6:$P$205*BASE!$L$6:$L$205*BASE!$N$6:$N$205),SUMPRODUCT((BASE!$E$6:$E$205=C54)*BASE!$P$6:$P$205*BASE!$L$6:$L$205*BASE!$H$6:$H$205))*PARAMETROS!$F$26+SUMPRODUCT((BASE!$E$6:$E$205=C54)*BASE!$P$6:$P$205*BASE!$L$6:$L$205*BASE!$O$6:$O$205)))</f>
        <v/>
      </c>
      <c r="J54" s="15">
        <f>IF(G54&gt;0,I54/G54,0)</f>
        <v/>
      </c>
      <c r="K54" s="16">
        <f>G54-I54</f>
        <v/>
      </c>
      <c r="L54" s="14">
        <f>MAX(0,K54)</f>
        <v/>
      </c>
      <c r="M54" s="14">
        <f>MAX(0,-K54)</f>
        <v/>
      </c>
      <c r="N54" s="14">
        <f>M54</f>
        <v/>
      </c>
      <c r="O54" s="14">
        <f>IF(PARAMETROS!$F$28&gt;0,M54/PARAMETROS!$F$28,0)</f>
        <v/>
      </c>
      <c r="P54" s="15">
        <f>IF(PARAMETROS!$C$8="Nominal",IF(F54&gt;0,I54/F54,0),J54)</f>
        <v/>
      </c>
      <c r="Q54" s="12">
        <f>IF(C54="","",IF(I54=0,"SEM CARGA",IF(OR(G54=0,J54&gt;=PARAMETROS!$C$7),"INSUFICIENTE",IF(J54&gt;=PARAMETROS!$C$6,"ATENÇÃO","OK"))))</f>
        <v/>
      </c>
      <c r="R54" s="15">
        <f>IF(G54+H54&gt;0,I54/(G54+H54),0)</f>
        <v/>
      </c>
      <c r="S54" s="14">
        <f>G54/PARAMETROS!$C$4</f>
        <v/>
      </c>
      <c r="T54" s="14">
        <f>S54*PARAMETROS!$C$5</f>
        <v/>
      </c>
      <c r="U54" s="28">
        <f>IF(I54&gt;0,SUMIF(BASE!$E$6:$E$205,C54,BASE!$L$6:$L$205)*PARAMETROS!$F$25*G54/I54,0)</f>
        <v/>
      </c>
    </row>
    <row r="55">
      <c r="A55" s="11" t="n">
        <v>4</v>
      </c>
      <c r="B55" s="11" t="n">
        <v>5</v>
      </c>
      <c r="C55" s="11">
        <f>IF(MAO_OBRA!A10="","",MAO_OBRA!A10)</f>
        <v/>
      </c>
      <c r="D55" s="11">
        <f>IF(MAO_OBRA!B10="","",MAO_OBRA!B10)</f>
        <v/>
      </c>
      <c r="E55" s="13">
        <f>MAO_OBRA!R10</f>
        <v/>
      </c>
      <c r="F55" s="14">
        <f>PARAMETROS!$C$4*(MAO_OBRA!L10*PARAMETROS!$F$18*PARAMETROS!$F$11+MAO_OBRA!M10*PARAMETROS!$F$19*PARAMETROS!$F$12+MAO_OBRA!N10*PARAMETROS!$F$20*PARAMETROS!$F$13)</f>
        <v/>
      </c>
      <c r="G55" s="14">
        <f>F55*PARAMETROS!$F$23*PARAMETROS!$F$24</f>
        <v/>
      </c>
      <c r="H55" s="14">
        <f>PARAMETROS!$F$22*PARAMETROS!$F$21*E55*PARAMETROS!$F$23*PARAMETROS!$F$24</f>
        <v/>
      </c>
      <c r="I55" s="14">
        <f>IF(C55="",0,PARAMETROS!$F$25/60*(IF(PARAMETROS!$F$27="Real",SUMPRODUCT((BASE!$E$6:$E$205=C55)*BASE!$P$6:$P$205*BASE!$L$6:$L$205*BASE!$N$6:$N$205),SUMPRODUCT((BASE!$E$6:$E$205=C55)*BASE!$P$6:$P$205*BASE!$L$6:$L$205*BASE!$H$6:$H$205))*PARAMETROS!$F$26+SUMPRODUCT((BASE!$E$6:$E$205=C55)*BASE!$P$6:$P$205*BASE!$L$6:$L$205*BASE!$O$6:$O$205)))</f>
        <v/>
      </c>
      <c r="J55" s="15">
        <f>IF(G55&gt;0,I55/G55,0)</f>
        <v/>
      </c>
      <c r="K55" s="16">
        <f>G55-I55</f>
        <v/>
      </c>
      <c r="L55" s="14">
        <f>MAX(0,K55)</f>
        <v/>
      </c>
      <c r="M55" s="14">
        <f>MAX(0,-K55)</f>
        <v/>
      </c>
      <c r="N55" s="14">
        <f>M55</f>
        <v/>
      </c>
      <c r="O55" s="14">
        <f>IF(PARAMETROS!$F$28&gt;0,M55/PARAMETROS!$F$28,0)</f>
        <v/>
      </c>
      <c r="P55" s="15">
        <f>IF(PARAMETROS!$C$8="Nominal",IF(F55&gt;0,I55/F55,0),J55)</f>
        <v/>
      </c>
      <c r="Q55" s="12">
        <f>IF(C55="","",IF(I55=0,"SEM CARGA",IF(OR(G55=0,J55&gt;=PARAMETROS!$C$7),"INSUFICIENTE",IF(J55&gt;=PARAMETROS!$C$6,"ATENÇÃO","OK"))))</f>
        <v/>
      </c>
      <c r="R55" s="15">
        <f>IF(G55+H55&gt;0,I55/(G55+H55),0)</f>
        <v/>
      </c>
      <c r="S55" s="14">
        <f>G55/PARAMETROS!$C$4</f>
        <v/>
      </c>
      <c r="T55" s="14">
        <f>S55*PARAMETROS!$C$5</f>
        <v/>
      </c>
      <c r="U55" s="28">
        <f>IF(I55&gt;0,SUMIF(BASE!$E$6:$E$205,C55,BASE!$L$6:$L$205)*PARAMETROS!$F$25*G55/I55,0)</f>
        <v/>
      </c>
    </row>
    <row r="56">
      <c r="A56" s="11" t="n">
        <v>4</v>
      </c>
      <c r="B56" s="11" t="n">
        <v>6</v>
      </c>
      <c r="C56" s="11">
        <f>IF(MAO_OBRA!A11="","",MAO_OBRA!A11)</f>
        <v/>
      </c>
      <c r="D56" s="11">
        <f>IF(MAO_OBRA!B11="","",MAO_OBRA!B11)</f>
        <v/>
      </c>
      <c r="E56" s="13">
        <f>MAO_OBRA!R11</f>
        <v/>
      </c>
      <c r="F56" s="14">
        <f>PARAMETROS!$C$4*(MAO_OBRA!L11*PARAMETROS!$F$18*PARAMETROS!$F$11+MAO_OBRA!M11*PARAMETROS!$F$19*PARAMETROS!$F$12+MAO_OBRA!N11*PARAMETROS!$F$20*PARAMETROS!$F$13)</f>
        <v/>
      </c>
      <c r="G56" s="14">
        <f>F56*PARAMETROS!$F$23*PARAMETROS!$F$24</f>
        <v/>
      </c>
      <c r="H56" s="14">
        <f>PARAMETROS!$F$22*PARAMETROS!$F$21*E56*PARAMETROS!$F$23*PARAMETROS!$F$24</f>
        <v/>
      </c>
      <c r="I56" s="14">
        <f>IF(C56="",0,PARAMETROS!$F$25/60*(IF(PARAMETROS!$F$27="Real",SUMPRODUCT((BASE!$E$6:$E$205=C56)*BASE!$P$6:$P$205*BASE!$L$6:$L$205*BASE!$N$6:$N$205),SUMPRODUCT((BASE!$E$6:$E$205=C56)*BASE!$P$6:$P$205*BASE!$L$6:$L$205*BASE!$H$6:$H$205))*PARAMETROS!$F$26+SUMPRODUCT((BASE!$E$6:$E$205=C56)*BASE!$P$6:$P$205*BASE!$L$6:$L$205*BASE!$O$6:$O$205)))</f>
        <v/>
      </c>
      <c r="J56" s="15">
        <f>IF(G56&gt;0,I56/G56,0)</f>
        <v/>
      </c>
      <c r="K56" s="16">
        <f>G56-I56</f>
        <v/>
      </c>
      <c r="L56" s="14">
        <f>MAX(0,K56)</f>
        <v/>
      </c>
      <c r="M56" s="14">
        <f>MAX(0,-K56)</f>
        <v/>
      </c>
      <c r="N56" s="14">
        <f>M56</f>
        <v/>
      </c>
      <c r="O56" s="14">
        <f>IF(PARAMETROS!$F$28&gt;0,M56/PARAMETROS!$F$28,0)</f>
        <v/>
      </c>
      <c r="P56" s="15">
        <f>IF(PARAMETROS!$C$8="Nominal",IF(F56&gt;0,I56/F56,0),J56)</f>
        <v/>
      </c>
      <c r="Q56" s="12">
        <f>IF(C56="","",IF(I56=0,"SEM CARGA",IF(OR(G56=0,J56&gt;=PARAMETROS!$C$7),"INSUFICIENTE",IF(J56&gt;=PARAMETROS!$C$6,"ATENÇÃO","OK"))))</f>
        <v/>
      </c>
      <c r="R56" s="15">
        <f>IF(G56+H56&gt;0,I56/(G56+H56),0)</f>
        <v/>
      </c>
      <c r="S56" s="14">
        <f>G56/PARAMETROS!$C$4</f>
        <v/>
      </c>
      <c r="T56" s="14">
        <f>S56*PARAMETROS!$C$5</f>
        <v/>
      </c>
      <c r="U56" s="28">
        <f>IF(I56&gt;0,SUMIF(BASE!$E$6:$E$205,C56,BASE!$L$6:$L$205)*PARAMETROS!$F$25*G56/I56,0)</f>
        <v/>
      </c>
    </row>
    <row r="57">
      <c r="A57" s="11" t="n">
        <v>4</v>
      </c>
      <c r="B57" s="11" t="n">
        <v>7</v>
      </c>
      <c r="C57" s="11">
        <f>IF(MAO_OBRA!A12="","",MAO_OBRA!A12)</f>
        <v/>
      </c>
      <c r="D57" s="11">
        <f>IF(MAO_OBRA!B12="","",MAO_OBRA!B12)</f>
        <v/>
      </c>
      <c r="E57" s="13">
        <f>MAO_OBRA!R12</f>
        <v/>
      </c>
      <c r="F57" s="14">
        <f>PARAMETROS!$C$4*(MAO_OBRA!L12*PARAMETROS!$F$18*PARAMETROS!$F$11+MAO_OBRA!M12*PARAMETROS!$F$19*PARAMETROS!$F$12+MAO_OBRA!N12*PARAMETROS!$F$20*PARAMETROS!$F$13)</f>
        <v/>
      </c>
      <c r="G57" s="14">
        <f>F57*PARAMETROS!$F$23*PARAMETROS!$F$24</f>
        <v/>
      </c>
      <c r="H57" s="14">
        <f>PARAMETROS!$F$22*PARAMETROS!$F$21*E57*PARAMETROS!$F$23*PARAMETROS!$F$24</f>
        <v/>
      </c>
      <c r="I57" s="14">
        <f>IF(C57="",0,PARAMETROS!$F$25/60*(IF(PARAMETROS!$F$27="Real",SUMPRODUCT((BASE!$E$6:$E$205=C57)*BASE!$P$6:$P$205*BASE!$L$6:$L$205*BASE!$N$6:$N$205),SUMPRODUCT((BASE!$E$6:$E$205=C57)*BASE!$P$6:$P$205*BASE!$L$6:$L$205*BASE!$H$6:$H$205))*PARAMETROS!$F$26+SUMPRODUCT((BASE!$E$6:$E$205=C57)*BASE!$P$6:$P$205*BASE!$L$6:$L$205*BASE!$O$6:$O$205)))</f>
        <v/>
      </c>
      <c r="J57" s="15">
        <f>IF(G57&gt;0,I57/G57,0)</f>
        <v/>
      </c>
      <c r="K57" s="16">
        <f>G57-I57</f>
        <v/>
      </c>
      <c r="L57" s="14">
        <f>MAX(0,K57)</f>
        <v/>
      </c>
      <c r="M57" s="14">
        <f>MAX(0,-K57)</f>
        <v/>
      </c>
      <c r="N57" s="14">
        <f>M57</f>
        <v/>
      </c>
      <c r="O57" s="14">
        <f>IF(PARAMETROS!$F$28&gt;0,M57/PARAMETROS!$F$28,0)</f>
        <v/>
      </c>
      <c r="P57" s="15">
        <f>IF(PARAMETROS!$C$8="Nominal",IF(F57&gt;0,I57/F57,0),J57)</f>
        <v/>
      </c>
      <c r="Q57" s="12">
        <f>IF(C57="","",IF(I57=0,"SEM CARGA",IF(OR(G57=0,J57&gt;=PARAMETROS!$C$7),"INSUFICIENTE",IF(J57&gt;=PARAMETROS!$C$6,"ATENÇÃO","OK"))))</f>
        <v/>
      </c>
      <c r="R57" s="15">
        <f>IF(G57+H57&gt;0,I57/(G57+H57),0)</f>
        <v/>
      </c>
      <c r="S57" s="14">
        <f>G57/PARAMETROS!$C$4</f>
        <v/>
      </c>
      <c r="T57" s="14">
        <f>S57*PARAMETROS!$C$5</f>
        <v/>
      </c>
      <c r="U57" s="28">
        <f>IF(I57&gt;0,SUMIF(BASE!$E$6:$E$205,C57,BASE!$L$6:$L$205)*PARAMETROS!$F$25*G57/I57,0)</f>
        <v/>
      </c>
    </row>
    <row r="58">
      <c r="A58" s="11" t="n">
        <v>4</v>
      </c>
      <c r="B58" s="11" t="n">
        <v>8</v>
      </c>
      <c r="C58" s="11">
        <f>IF(MAO_OBRA!A13="","",MAO_OBRA!A13)</f>
        <v/>
      </c>
      <c r="D58" s="11">
        <f>IF(MAO_OBRA!B13="","",MAO_OBRA!B13)</f>
        <v/>
      </c>
      <c r="E58" s="13">
        <f>MAO_OBRA!R13</f>
        <v/>
      </c>
      <c r="F58" s="14">
        <f>PARAMETROS!$C$4*(MAO_OBRA!L13*PARAMETROS!$F$18*PARAMETROS!$F$11+MAO_OBRA!M13*PARAMETROS!$F$19*PARAMETROS!$F$12+MAO_OBRA!N13*PARAMETROS!$F$20*PARAMETROS!$F$13)</f>
        <v/>
      </c>
      <c r="G58" s="14">
        <f>F58*PARAMETROS!$F$23*PARAMETROS!$F$24</f>
        <v/>
      </c>
      <c r="H58" s="14">
        <f>PARAMETROS!$F$22*PARAMETROS!$F$21*E58*PARAMETROS!$F$23*PARAMETROS!$F$24</f>
        <v/>
      </c>
      <c r="I58" s="14">
        <f>IF(C58="",0,PARAMETROS!$F$25/60*(IF(PARAMETROS!$F$27="Real",SUMPRODUCT((BASE!$E$6:$E$205=C58)*BASE!$P$6:$P$205*BASE!$L$6:$L$205*BASE!$N$6:$N$205),SUMPRODUCT((BASE!$E$6:$E$205=C58)*BASE!$P$6:$P$205*BASE!$L$6:$L$205*BASE!$H$6:$H$205))*PARAMETROS!$F$26+SUMPRODUCT((BASE!$E$6:$E$205=C58)*BASE!$P$6:$P$205*BASE!$L$6:$L$205*BASE!$O$6:$O$205)))</f>
        <v/>
      </c>
      <c r="J58" s="15">
        <f>IF(G58&gt;0,I58/G58,0)</f>
        <v/>
      </c>
      <c r="K58" s="16">
        <f>G58-I58</f>
        <v/>
      </c>
      <c r="L58" s="14">
        <f>MAX(0,K58)</f>
        <v/>
      </c>
      <c r="M58" s="14">
        <f>MAX(0,-K58)</f>
        <v/>
      </c>
      <c r="N58" s="14">
        <f>M58</f>
        <v/>
      </c>
      <c r="O58" s="14">
        <f>IF(PARAMETROS!$F$28&gt;0,M58/PARAMETROS!$F$28,0)</f>
        <v/>
      </c>
      <c r="P58" s="15">
        <f>IF(PARAMETROS!$C$8="Nominal",IF(F58&gt;0,I58/F58,0),J58)</f>
        <v/>
      </c>
      <c r="Q58" s="12">
        <f>IF(C58="","",IF(I58=0,"SEM CARGA",IF(OR(G58=0,J58&gt;=PARAMETROS!$C$7),"INSUFICIENTE",IF(J58&gt;=PARAMETROS!$C$6,"ATENÇÃO","OK"))))</f>
        <v/>
      </c>
      <c r="R58" s="15">
        <f>IF(G58+H58&gt;0,I58/(G58+H58),0)</f>
        <v/>
      </c>
      <c r="S58" s="14">
        <f>G58/PARAMETROS!$C$4</f>
        <v/>
      </c>
      <c r="T58" s="14">
        <f>S58*PARAMETROS!$C$5</f>
        <v/>
      </c>
      <c r="U58" s="28">
        <f>IF(I58&gt;0,SUMIF(BASE!$E$6:$E$205,C58,BASE!$L$6:$L$205)*PARAMETROS!$F$25*G58/I58,0)</f>
        <v/>
      </c>
    </row>
    <row r="59">
      <c r="A59" s="11" t="n">
        <v>4</v>
      </c>
      <c r="B59" s="11" t="n">
        <v>9</v>
      </c>
      <c r="C59" s="11">
        <f>IF(MAO_OBRA!A14="","",MAO_OBRA!A14)</f>
        <v/>
      </c>
      <c r="D59" s="11">
        <f>IF(MAO_OBRA!B14="","",MAO_OBRA!B14)</f>
        <v/>
      </c>
      <c r="E59" s="13">
        <f>MAO_OBRA!R14</f>
        <v/>
      </c>
      <c r="F59" s="14">
        <f>PARAMETROS!$C$4*(MAO_OBRA!L14*PARAMETROS!$F$18*PARAMETROS!$F$11+MAO_OBRA!M14*PARAMETROS!$F$19*PARAMETROS!$F$12+MAO_OBRA!N14*PARAMETROS!$F$20*PARAMETROS!$F$13)</f>
        <v/>
      </c>
      <c r="G59" s="14">
        <f>F59*PARAMETROS!$F$23*PARAMETROS!$F$24</f>
        <v/>
      </c>
      <c r="H59" s="14">
        <f>PARAMETROS!$F$22*PARAMETROS!$F$21*E59*PARAMETROS!$F$23*PARAMETROS!$F$24</f>
        <v/>
      </c>
      <c r="I59" s="14">
        <f>IF(C59="",0,PARAMETROS!$F$25/60*(IF(PARAMETROS!$F$27="Real",SUMPRODUCT((BASE!$E$6:$E$205=C59)*BASE!$P$6:$P$205*BASE!$L$6:$L$205*BASE!$N$6:$N$205),SUMPRODUCT((BASE!$E$6:$E$205=C59)*BASE!$P$6:$P$205*BASE!$L$6:$L$205*BASE!$H$6:$H$205))*PARAMETROS!$F$26+SUMPRODUCT((BASE!$E$6:$E$205=C59)*BASE!$P$6:$P$205*BASE!$L$6:$L$205*BASE!$O$6:$O$205)))</f>
        <v/>
      </c>
      <c r="J59" s="15">
        <f>IF(G59&gt;0,I59/G59,0)</f>
        <v/>
      </c>
      <c r="K59" s="16">
        <f>G59-I59</f>
        <v/>
      </c>
      <c r="L59" s="14">
        <f>MAX(0,K59)</f>
        <v/>
      </c>
      <c r="M59" s="14">
        <f>MAX(0,-K59)</f>
        <v/>
      </c>
      <c r="N59" s="14">
        <f>M59</f>
        <v/>
      </c>
      <c r="O59" s="14">
        <f>IF(PARAMETROS!$F$28&gt;0,M59/PARAMETROS!$F$28,0)</f>
        <v/>
      </c>
      <c r="P59" s="15">
        <f>IF(PARAMETROS!$C$8="Nominal",IF(F59&gt;0,I59/F59,0),J59)</f>
        <v/>
      </c>
      <c r="Q59" s="12">
        <f>IF(C59="","",IF(I59=0,"SEM CARGA",IF(OR(G59=0,J59&gt;=PARAMETROS!$C$7),"INSUFICIENTE",IF(J59&gt;=PARAMETROS!$C$6,"ATENÇÃO","OK"))))</f>
        <v/>
      </c>
      <c r="R59" s="15">
        <f>IF(G59+H59&gt;0,I59/(G59+H59),0)</f>
        <v/>
      </c>
      <c r="S59" s="14">
        <f>G59/PARAMETROS!$C$4</f>
        <v/>
      </c>
      <c r="T59" s="14">
        <f>S59*PARAMETROS!$C$5</f>
        <v/>
      </c>
      <c r="U59" s="28">
        <f>IF(I59&gt;0,SUMIF(BASE!$E$6:$E$205,C59,BASE!$L$6:$L$205)*PARAMETROS!$F$25*G59/I59,0)</f>
        <v/>
      </c>
    </row>
    <row r="60">
      <c r="A60" s="11" t="n">
        <v>4</v>
      </c>
      <c r="B60" s="11" t="n">
        <v>10</v>
      </c>
      <c r="C60" s="11">
        <f>IF(MAO_OBRA!A15="","",MAO_OBRA!A15)</f>
        <v/>
      </c>
      <c r="D60" s="11">
        <f>IF(MAO_OBRA!B15="","",MAO_OBRA!B15)</f>
        <v/>
      </c>
      <c r="E60" s="13">
        <f>MAO_OBRA!R15</f>
        <v/>
      </c>
      <c r="F60" s="14">
        <f>PARAMETROS!$C$4*(MAO_OBRA!L15*PARAMETROS!$F$18*PARAMETROS!$F$11+MAO_OBRA!M15*PARAMETROS!$F$19*PARAMETROS!$F$12+MAO_OBRA!N15*PARAMETROS!$F$20*PARAMETROS!$F$13)</f>
        <v/>
      </c>
      <c r="G60" s="14">
        <f>F60*PARAMETROS!$F$23*PARAMETROS!$F$24</f>
        <v/>
      </c>
      <c r="H60" s="14">
        <f>PARAMETROS!$F$22*PARAMETROS!$F$21*E60*PARAMETROS!$F$23*PARAMETROS!$F$24</f>
        <v/>
      </c>
      <c r="I60" s="14">
        <f>IF(C60="",0,PARAMETROS!$F$25/60*(IF(PARAMETROS!$F$27="Real",SUMPRODUCT((BASE!$E$6:$E$205=C60)*BASE!$P$6:$P$205*BASE!$L$6:$L$205*BASE!$N$6:$N$205),SUMPRODUCT((BASE!$E$6:$E$205=C60)*BASE!$P$6:$P$205*BASE!$L$6:$L$205*BASE!$H$6:$H$205))*PARAMETROS!$F$26+SUMPRODUCT((BASE!$E$6:$E$205=C60)*BASE!$P$6:$P$205*BASE!$L$6:$L$205*BASE!$O$6:$O$205)))</f>
        <v/>
      </c>
      <c r="J60" s="15">
        <f>IF(G60&gt;0,I60/G60,0)</f>
        <v/>
      </c>
      <c r="K60" s="16">
        <f>G60-I60</f>
        <v/>
      </c>
      <c r="L60" s="14">
        <f>MAX(0,K60)</f>
        <v/>
      </c>
      <c r="M60" s="14">
        <f>MAX(0,-K60)</f>
        <v/>
      </c>
      <c r="N60" s="14">
        <f>M60</f>
        <v/>
      </c>
      <c r="O60" s="14">
        <f>IF(PARAMETROS!$F$28&gt;0,M60/PARAMETROS!$F$28,0)</f>
        <v/>
      </c>
      <c r="P60" s="15">
        <f>IF(PARAMETROS!$C$8="Nominal",IF(F60&gt;0,I60/F60,0),J60)</f>
        <v/>
      </c>
      <c r="Q60" s="12">
        <f>IF(C60="","",IF(I60=0,"SEM CARGA",IF(OR(G60=0,J60&gt;=PARAMETROS!$C$7),"INSUFICIENTE",IF(J60&gt;=PARAMETROS!$C$6,"ATENÇÃO","OK"))))</f>
        <v/>
      </c>
      <c r="R60" s="15">
        <f>IF(G60+H60&gt;0,I60/(G60+H60),0)</f>
        <v/>
      </c>
      <c r="S60" s="14">
        <f>G60/PARAMETROS!$C$4</f>
        <v/>
      </c>
      <c r="T60" s="14">
        <f>S60*PARAMETROS!$C$5</f>
        <v/>
      </c>
      <c r="U60" s="28">
        <f>IF(I60&gt;0,SUMIF(BASE!$E$6:$E$205,C60,BASE!$L$6:$L$205)*PARAMETROS!$F$25*G60/I60,0)</f>
        <v/>
      </c>
    </row>
    <row r="61">
      <c r="A61" s="11" t="n">
        <v>4</v>
      </c>
      <c r="B61" s="11" t="n">
        <v>11</v>
      </c>
      <c r="C61" s="11">
        <f>IF(MAO_OBRA!A16="","",MAO_OBRA!A16)</f>
        <v/>
      </c>
      <c r="D61" s="11">
        <f>IF(MAO_OBRA!B16="","",MAO_OBRA!B16)</f>
        <v/>
      </c>
      <c r="E61" s="13">
        <f>MAO_OBRA!R16</f>
        <v/>
      </c>
      <c r="F61" s="14">
        <f>PARAMETROS!$C$4*(MAO_OBRA!L16*PARAMETROS!$F$18*PARAMETROS!$F$11+MAO_OBRA!M16*PARAMETROS!$F$19*PARAMETROS!$F$12+MAO_OBRA!N16*PARAMETROS!$F$20*PARAMETROS!$F$13)</f>
        <v/>
      </c>
      <c r="G61" s="14">
        <f>F61*PARAMETROS!$F$23*PARAMETROS!$F$24</f>
        <v/>
      </c>
      <c r="H61" s="14">
        <f>PARAMETROS!$F$22*PARAMETROS!$F$21*E61*PARAMETROS!$F$23*PARAMETROS!$F$24</f>
        <v/>
      </c>
      <c r="I61" s="14">
        <f>IF(C61="",0,PARAMETROS!$F$25/60*(IF(PARAMETROS!$F$27="Real",SUMPRODUCT((BASE!$E$6:$E$205=C61)*BASE!$P$6:$P$205*BASE!$L$6:$L$205*BASE!$N$6:$N$205),SUMPRODUCT((BASE!$E$6:$E$205=C61)*BASE!$P$6:$P$205*BASE!$L$6:$L$205*BASE!$H$6:$H$205))*PARAMETROS!$F$26+SUMPRODUCT((BASE!$E$6:$E$205=C61)*BASE!$P$6:$P$205*BASE!$L$6:$L$205*BASE!$O$6:$O$205)))</f>
        <v/>
      </c>
      <c r="J61" s="15">
        <f>IF(G61&gt;0,I61/G61,0)</f>
        <v/>
      </c>
      <c r="K61" s="16">
        <f>G61-I61</f>
        <v/>
      </c>
      <c r="L61" s="14">
        <f>MAX(0,K61)</f>
        <v/>
      </c>
      <c r="M61" s="14">
        <f>MAX(0,-K61)</f>
        <v/>
      </c>
      <c r="N61" s="14">
        <f>M61</f>
        <v/>
      </c>
      <c r="O61" s="14">
        <f>IF(PARAMETROS!$F$28&gt;0,M61/PARAMETROS!$F$28,0)</f>
        <v/>
      </c>
      <c r="P61" s="15">
        <f>IF(PARAMETROS!$C$8="Nominal",IF(F61&gt;0,I61/F61,0),J61)</f>
        <v/>
      </c>
      <c r="Q61" s="12">
        <f>IF(C61="","",IF(I61=0,"SEM CARGA",IF(OR(G61=0,J61&gt;=PARAMETROS!$C$7),"INSUFICIENTE",IF(J61&gt;=PARAMETROS!$C$6,"ATENÇÃO","OK"))))</f>
        <v/>
      </c>
      <c r="R61" s="15">
        <f>IF(G61+H61&gt;0,I61/(G61+H61),0)</f>
        <v/>
      </c>
      <c r="S61" s="14">
        <f>G61/PARAMETROS!$C$4</f>
        <v/>
      </c>
      <c r="T61" s="14">
        <f>S61*PARAMETROS!$C$5</f>
        <v/>
      </c>
      <c r="U61" s="28">
        <f>IF(I61&gt;0,SUMIF(BASE!$E$6:$E$205,C61,BASE!$L$6:$L$205)*PARAMETROS!$F$25*G61/I61,0)</f>
        <v/>
      </c>
    </row>
    <row r="62">
      <c r="A62" s="11" t="n">
        <v>4</v>
      </c>
      <c r="B62" s="11" t="n">
        <v>12</v>
      </c>
      <c r="C62" s="11">
        <f>IF(MAO_OBRA!A17="","",MAO_OBRA!A17)</f>
        <v/>
      </c>
      <c r="D62" s="11">
        <f>IF(MAO_OBRA!B17="","",MAO_OBRA!B17)</f>
        <v/>
      </c>
      <c r="E62" s="13">
        <f>MAO_OBRA!R17</f>
        <v/>
      </c>
      <c r="F62" s="14">
        <f>PARAMETROS!$C$4*(MAO_OBRA!L17*PARAMETROS!$F$18*PARAMETROS!$F$11+MAO_OBRA!M17*PARAMETROS!$F$19*PARAMETROS!$F$12+MAO_OBRA!N17*PARAMETROS!$F$20*PARAMETROS!$F$13)</f>
        <v/>
      </c>
      <c r="G62" s="14">
        <f>F62*PARAMETROS!$F$23*PARAMETROS!$F$24</f>
        <v/>
      </c>
      <c r="H62" s="14">
        <f>PARAMETROS!$F$22*PARAMETROS!$F$21*E62*PARAMETROS!$F$23*PARAMETROS!$F$24</f>
        <v/>
      </c>
      <c r="I62" s="14">
        <f>IF(C62="",0,PARAMETROS!$F$25/60*(IF(PARAMETROS!$F$27="Real",SUMPRODUCT((BASE!$E$6:$E$205=C62)*BASE!$P$6:$P$205*BASE!$L$6:$L$205*BASE!$N$6:$N$205),SUMPRODUCT((BASE!$E$6:$E$205=C62)*BASE!$P$6:$P$205*BASE!$L$6:$L$205*BASE!$H$6:$H$205))*PARAMETROS!$F$26+SUMPRODUCT((BASE!$E$6:$E$205=C62)*BASE!$P$6:$P$205*BASE!$L$6:$L$205*BASE!$O$6:$O$205)))</f>
        <v/>
      </c>
      <c r="J62" s="15">
        <f>IF(G62&gt;0,I62/G62,0)</f>
        <v/>
      </c>
      <c r="K62" s="16">
        <f>G62-I62</f>
        <v/>
      </c>
      <c r="L62" s="14">
        <f>MAX(0,K62)</f>
        <v/>
      </c>
      <c r="M62" s="14">
        <f>MAX(0,-K62)</f>
        <v/>
      </c>
      <c r="N62" s="14">
        <f>M62</f>
        <v/>
      </c>
      <c r="O62" s="14">
        <f>IF(PARAMETROS!$F$28&gt;0,M62/PARAMETROS!$F$28,0)</f>
        <v/>
      </c>
      <c r="P62" s="15">
        <f>IF(PARAMETROS!$C$8="Nominal",IF(F62&gt;0,I62/F62,0),J62)</f>
        <v/>
      </c>
      <c r="Q62" s="12">
        <f>IF(C62="","",IF(I62=0,"SEM CARGA",IF(OR(G62=0,J62&gt;=PARAMETROS!$C$7),"INSUFICIENTE",IF(J62&gt;=PARAMETROS!$C$6,"ATENÇÃO","OK"))))</f>
        <v/>
      </c>
      <c r="R62" s="15">
        <f>IF(G62+H62&gt;0,I62/(G62+H62),0)</f>
        <v/>
      </c>
      <c r="S62" s="14">
        <f>G62/PARAMETROS!$C$4</f>
        <v/>
      </c>
      <c r="T62" s="14">
        <f>S62*PARAMETROS!$C$5</f>
        <v/>
      </c>
      <c r="U62" s="28">
        <f>IF(I62&gt;0,SUMIF(BASE!$E$6:$E$205,C62,BASE!$L$6:$L$205)*PARAMETROS!$F$25*G62/I62,0)</f>
        <v/>
      </c>
    </row>
    <row r="63">
      <c r="A63" s="11" t="n">
        <v>4</v>
      </c>
      <c r="B63" s="11" t="n">
        <v>13</v>
      </c>
      <c r="C63" s="11">
        <f>IF(MAO_OBRA!A18="","",MAO_OBRA!A18)</f>
        <v/>
      </c>
      <c r="D63" s="11">
        <f>IF(MAO_OBRA!B18="","",MAO_OBRA!B18)</f>
        <v/>
      </c>
      <c r="E63" s="13">
        <f>MAO_OBRA!R18</f>
        <v/>
      </c>
      <c r="F63" s="14">
        <f>PARAMETROS!$C$4*(MAO_OBRA!L18*PARAMETROS!$F$18*PARAMETROS!$F$11+MAO_OBRA!M18*PARAMETROS!$F$19*PARAMETROS!$F$12+MAO_OBRA!N18*PARAMETROS!$F$20*PARAMETROS!$F$13)</f>
        <v/>
      </c>
      <c r="G63" s="14">
        <f>F63*PARAMETROS!$F$23*PARAMETROS!$F$24</f>
        <v/>
      </c>
      <c r="H63" s="14">
        <f>PARAMETROS!$F$22*PARAMETROS!$F$21*E63*PARAMETROS!$F$23*PARAMETROS!$F$24</f>
        <v/>
      </c>
      <c r="I63" s="14">
        <f>IF(C63="",0,PARAMETROS!$F$25/60*(IF(PARAMETROS!$F$27="Real",SUMPRODUCT((BASE!$E$6:$E$205=C63)*BASE!$P$6:$P$205*BASE!$L$6:$L$205*BASE!$N$6:$N$205),SUMPRODUCT((BASE!$E$6:$E$205=C63)*BASE!$P$6:$P$205*BASE!$L$6:$L$205*BASE!$H$6:$H$205))*PARAMETROS!$F$26+SUMPRODUCT((BASE!$E$6:$E$205=C63)*BASE!$P$6:$P$205*BASE!$L$6:$L$205*BASE!$O$6:$O$205)))</f>
        <v/>
      </c>
      <c r="J63" s="15">
        <f>IF(G63&gt;0,I63/G63,0)</f>
        <v/>
      </c>
      <c r="K63" s="16">
        <f>G63-I63</f>
        <v/>
      </c>
      <c r="L63" s="14">
        <f>MAX(0,K63)</f>
        <v/>
      </c>
      <c r="M63" s="14">
        <f>MAX(0,-K63)</f>
        <v/>
      </c>
      <c r="N63" s="14">
        <f>M63</f>
        <v/>
      </c>
      <c r="O63" s="14">
        <f>IF(PARAMETROS!$F$28&gt;0,M63/PARAMETROS!$F$28,0)</f>
        <v/>
      </c>
      <c r="P63" s="15">
        <f>IF(PARAMETROS!$C$8="Nominal",IF(F63&gt;0,I63/F63,0),J63)</f>
        <v/>
      </c>
      <c r="Q63" s="12">
        <f>IF(C63="","",IF(I63=0,"SEM CARGA",IF(OR(G63=0,J63&gt;=PARAMETROS!$C$7),"INSUFICIENTE",IF(J63&gt;=PARAMETROS!$C$6,"ATENÇÃO","OK"))))</f>
        <v/>
      </c>
      <c r="R63" s="15">
        <f>IF(G63+H63&gt;0,I63/(G63+H63),0)</f>
        <v/>
      </c>
      <c r="S63" s="14">
        <f>G63/PARAMETROS!$C$4</f>
        <v/>
      </c>
      <c r="T63" s="14">
        <f>S63*PARAMETROS!$C$5</f>
        <v/>
      </c>
      <c r="U63" s="28">
        <f>IF(I63&gt;0,SUMIF(BASE!$E$6:$E$205,C63,BASE!$L$6:$L$205)*PARAMETROS!$F$25*G63/I63,0)</f>
        <v/>
      </c>
    </row>
    <row r="64">
      <c r="A64" s="11" t="n">
        <v>4</v>
      </c>
      <c r="B64" s="11" t="n">
        <v>14</v>
      </c>
      <c r="C64" s="11">
        <f>IF(MAO_OBRA!A19="","",MAO_OBRA!A19)</f>
        <v/>
      </c>
      <c r="D64" s="11">
        <f>IF(MAO_OBRA!B19="","",MAO_OBRA!B19)</f>
        <v/>
      </c>
      <c r="E64" s="13">
        <f>MAO_OBRA!R19</f>
        <v/>
      </c>
      <c r="F64" s="14">
        <f>PARAMETROS!$C$4*(MAO_OBRA!L19*PARAMETROS!$F$18*PARAMETROS!$F$11+MAO_OBRA!M19*PARAMETROS!$F$19*PARAMETROS!$F$12+MAO_OBRA!N19*PARAMETROS!$F$20*PARAMETROS!$F$13)</f>
        <v/>
      </c>
      <c r="G64" s="14">
        <f>F64*PARAMETROS!$F$23*PARAMETROS!$F$24</f>
        <v/>
      </c>
      <c r="H64" s="14">
        <f>PARAMETROS!$F$22*PARAMETROS!$F$21*E64*PARAMETROS!$F$23*PARAMETROS!$F$24</f>
        <v/>
      </c>
      <c r="I64" s="14">
        <f>IF(C64="",0,PARAMETROS!$F$25/60*(IF(PARAMETROS!$F$27="Real",SUMPRODUCT((BASE!$E$6:$E$205=C64)*BASE!$P$6:$P$205*BASE!$L$6:$L$205*BASE!$N$6:$N$205),SUMPRODUCT((BASE!$E$6:$E$205=C64)*BASE!$P$6:$P$205*BASE!$L$6:$L$205*BASE!$H$6:$H$205))*PARAMETROS!$F$26+SUMPRODUCT((BASE!$E$6:$E$205=C64)*BASE!$P$6:$P$205*BASE!$L$6:$L$205*BASE!$O$6:$O$205)))</f>
        <v/>
      </c>
      <c r="J64" s="15">
        <f>IF(G64&gt;0,I64/G64,0)</f>
        <v/>
      </c>
      <c r="K64" s="16">
        <f>G64-I64</f>
        <v/>
      </c>
      <c r="L64" s="14">
        <f>MAX(0,K64)</f>
        <v/>
      </c>
      <c r="M64" s="14">
        <f>MAX(0,-K64)</f>
        <v/>
      </c>
      <c r="N64" s="14">
        <f>M64</f>
        <v/>
      </c>
      <c r="O64" s="14">
        <f>IF(PARAMETROS!$F$28&gt;0,M64/PARAMETROS!$F$28,0)</f>
        <v/>
      </c>
      <c r="P64" s="15">
        <f>IF(PARAMETROS!$C$8="Nominal",IF(F64&gt;0,I64/F64,0),J64)</f>
        <v/>
      </c>
      <c r="Q64" s="12">
        <f>IF(C64="","",IF(I64=0,"SEM CARGA",IF(OR(G64=0,J64&gt;=PARAMETROS!$C$7),"INSUFICIENTE",IF(J64&gt;=PARAMETROS!$C$6,"ATENÇÃO","OK"))))</f>
        <v/>
      </c>
      <c r="R64" s="15">
        <f>IF(G64+H64&gt;0,I64/(G64+H64),0)</f>
        <v/>
      </c>
      <c r="S64" s="14">
        <f>G64/PARAMETROS!$C$4</f>
        <v/>
      </c>
      <c r="T64" s="14">
        <f>S64*PARAMETROS!$C$5</f>
        <v/>
      </c>
      <c r="U64" s="28">
        <f>IF(I64&gt;0,SUMIF(BASE!$E$6:$E$205,C64,BASE!$L$6:$L$205)*PARAMETROS!$F$25*G64/I64,0)</f>
        <v/>
      </c>
    </row>
    <row r="65">
      <c r="A65" s="11" t="n">
        <v>4</v>
      </c>
      <c r="B65" s="11" t="n">
        <v>15</v>
      </c>
      <c r="C65" s="11">
        <f>IF(MAO_OBRA!A20="","",MAO_OBRA!A20)</f>
        <v/>
      </c>
      <c r="D65" s="11">
        <f>IF(MAO_OBRA!B20="","",MAO_OBRA!B20)</f>
        <v/>
      </c>
      <c r="E65" s="13">
        <f>MAO_OBRA!R20</f>
        <v/>
      </c>
      <c r="F65" s="14">
        <f>PARAMETROS!$C$4*(MAO_OBRA!L20*PARAMETROS!$F$18*PARAMETROS!$F$11+MAO_OBRA!M20*PARAMETROS!$F$19*PARAMETROS!$F$12+MAO_OBRA!N20*PARAMETROS!$F$20*PARAMETROS!$F$13)</f>
        <v/>
      </c>
      <c r="G65" s="14">
        <f>F65*PARAMETROS!$F$23*PARAMETROS!$F$24</f>
        <v/>
      </c>
      <c r="H65" s="14">
        <f>PARAMETROS!$F$22*PARAMETROS!$F$21*E65*PARAMETROS!$F$23*PARAMETROS!$F$24</f>
        <v/>
      </c>
      <c r="I65" s="14">
        <f>IF(C65="",0,PARAMETROS!$F$25/60*(IF(PARAMETROS!$F$27="Real",SUMPRODUCT((BASE!$E$6:$E$205=C65)*BASE!$P$6:$P$205*BASE!$L$6:$L$205*BASE!$N$6:$N$205),SUMPRODUCT((BASE!$E$6:$E$205=C65)*BASE!$P$6:$P$205*BASE!$L$6:$L$205*BASE!$H$6:$H$205))*PARAMETROS!$F$26+SUMPRODUCT((BASE!$E$6:$E$205=C65)*BASE!$P$6:$P$205*BASE!$L$6:$L$205*BASE!$O$6:$O$205)))</f>
        <v/>
      </c>
      <c r="J65" s="15">
        <f>IF(G65&gt;0,I65/G65,0)</f>
        <v/>
      </c>
      <c r="K65" s="16">
        <f>G65-I65</f>
        <v/>
      </c>
      <c r="L65" s="14">
        <f>MAX(0,K65)</f>
        <v/>
      </c>
      <c r="M65" s="14">
        <f>MAX(0,-K65)</f>
        <v/>
      </c>
      <c r="N65" s="14">
        <f>M65</f>
        <v/>
      </c>
      <c r="O65" s="14">
        <f>IF(PARAMETROS!$F$28&gt;0,M65/PARAMETROS!$F$28,0)</f>
        <v/>
      </c>
      <c r="P65" s="15">
        <f>IF(PARAMETROS!$C$8="Nominal",IF(F65&gt;0,I65/F65,0),J65)</f>
        <v/>
      </c>
      <c r="Q65" s="12">
        <f>IF(C65="","",IF(I65=0,"SEM CARGA",IF(OR(G65=0,J65&gt;=PARAMETROS!$C$7),"INSUFICIENTE",IF(J65&gt;=PARAMETROS!$C$6,"ATENÇÃO","OK"))))</f>
        <v/>
      </c>
      <c r="R65" s="15">
        <f>IF(G65+H65&gt;0,I65/(G65+H65),0)</f>
        <v/>
      </c>
      <c r="S65" s="14">
        <f>G65/PARAMETROS!$C$4</f>
        <v/>
      </c>
      <c r="T65" s="14">
        <f>S65*PARAMETROS!$C$5</f>
        <v/>
      </c>
      <c r="U65" s="28">
        <f>IF(I65&gt;0,SUMIF(BASE!$E$6:$E$205,C65,BASE!$L$6:$L$205)*PARAMETROS!$F$25*G65/I65,0)</f>
        <v/>
      </c>
    </row>
  </sheetData>
  <autoFilter ref="A5:U65"/>
  <conditionalFormatting sqref="J6:J65">
    <cfRule type="expression" priority="1" dxfId="0">
      <formula>AND(J6&gt;=PARAMETROS!$C$7,J6&lt;&gt;0)</formula>
    </cfRule>
    <cfRule type="expression" priority="2" dxfId="1">
      <formula>AND(J6&gt;=PARAMETROS!$C$6,J6&lt;PARAMETROS!$C$7)</formula>
    </cfRule>
    <cfRule type="expression" priority="3" dxfId="2">
      <formula>AND(J6&gt;0,J6&lt;PARAMETROS!$C$6)</formula>
    </cfRule>
  </conditionalFormatting>
  <conditionalFormatting sqref="Q6:Q65">
    <cfRule type="expression" priority="4" dxfId="0">
      <formula>Q6="INSUFICIENTE"</formula>
    </cfRule>
    <cfRule type="expression" priority="5" dxfId="1">
      <formula>Q6="ATENÇÃO"</formula>
    </cfRule>
    <cfRule type="expression" priority="6" dxfId="2">
      <formula>Q6="OK"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CAPACIDADE DA USINAGEM — 4 cenários (horas-máquina/mês)</t>
        </is>
      </c>
    </row>
    <row r="2">
      <c r="A2" s="4" t="inlineStr">
        <is>
          <t>Horas-máquina: não multiplicam por operadores. Carga = demanda × (tempo + setup/lote). Máquinas definidas em PARAMETROS (B32:B37).</t>
        </is>
      </c>
    </row>
    <row r="5" ht="32" customHeight="1">
      <c r="A5" s="5" t="inlineStr">
        <is>
          <t>Cen.</t>
        </is>
      </c>
      <c r="B5" s="5" t="inlineStr">
        <is>
          <t>#</t>
        </is>
      </c>
      <c r="C5" s="5" t="inlineStr">
        <is>
          <t>Máquina</t>
        </is>
      </c>
      <c r="D5" s="5" t="inlineStr">
        <is>
          <t>Turnos ativos</t>
        </is>
      </c>
      <c r="E5" s="5" t="inlineStr">
        <is>
          <t>Cap. nominal (h)</t>
        </is>
      </c>
      <c r="F5" s="5" t="inlineStr">
        <is>
          <t>Cap. efetiva (h)</t>
        </is>
      </c>
      <c r="G5" s="5" t="inlineStr">
        <is>
          <t>Cap. extra HE (h)</t>
        </is>
      </c>
      <c r="H5" s="5" t="inlineStr">
        <is>
          <t>Carga (h)</t>
        </is>
      </c>
      <c r="I5" s="5" t="inlineStr">
        <is>
          <t>Utilização</t>
        </is>
      </c>
      <c r="J5" s="5" t="inlineStr">
        <is>
          <t>Saldo (h)</t>
        </is>
      </c>
      <c r="K5" s="5" t="inlineStr">
        <is>
          <t>Ociosidade (h)</t>
        </is>
      </c>
      <c r="L5" s="5" t="inlineStr">
        <is>
          <t>Déficit (h)</t>
        </is>
      </c>
      <c r="M5" s="5" t="inlineStr">
        <is>
          <t>HE necessária (h)</t>
        </is>
      </c>
      <c r="N5" s="5" t="inlineStr">
        <is>
          <t>Status</t>
        </is>
      </c>
      <c r="O5" s="5" t="inlineStr">
        <is>
          <t>Sogyodo</t>
        </is>
      </c>
      <c r="P5" s="5" t="inlineStr">
        <is>
          <t>Turnos-A equiv. necessários</t>
        </is>
      </c>
      <c r="Q5" s="5" t="inlineStr">
        <is>
          <t>Setup incluso (h)</t>
        </is>
      </c>
      <c r="R5" s="5" t="inlineStr">
        <is>
          <t>Util. c/ HE</t>
        </is>
      </c>
    </row>
    <row r="6">
      <c r="A6" s="11" t="n">
        <v>1</v>
      </c>
      <c r="B6" s="11" t="n">
        <v>1</v>
      </c>
      <c r="C6" s="11">
        <f>IF(PARAMETROS!B32="","",PARAMETROS!B32)</f>
        <v/>
      </c>
      <c r="D6" s="11">
        <f>PARAMETROS!$C$18+PARAMETROS!$C$19+PARAMETROS!$C$20</f>
        <v/>
      </c>
      <c r="E6" s="14">
        <f>PARAMETROS!$C$4*(PARAMETROS!$C$18*PARAMETROS!$F$11+PARAMETROS!$C$19*PARAMETROS!$F$12+PARAMETROS!$C$20*PARAMETROS!$F$13)</f>
        <v/>
      </c>
      <c r="F6" s="14">
        <f>E6*PARAMETROS!$C$23*PARAMETROS!$C$24</f>
        <v/>
      </c>
      <c r="G6" s="14">
        <f>PARAMETROS!$C$22*PARAMETROS!$C$21*D6*PARAMETROS!$C$23*PARAMETROS!$C$24</f>
        <v/>
      </c>
      <c r="H6" s="14">
        <f>IF(C6="",0,PARAMETROS!$C$25/60*(IF(PARAMETROS!$C$27="Real",SUMPRODUCT((BASE!$F$6:$F$205=C6)*BASE!$L$6:$L$205*BASE!$N$6:$N$205),SUMPRODUCT((BASE!$F$6:$F$205=C6)*BASE!$L$6:$L$205*BASE!$H$6:$H$205))*PARAMETROS!$C$26+SUMPRODUCT((BASE!$F$6:$F$205=C6)*BASE!$L$6:$L$205*BASE!$O$6:$O$205)))</f>
        <v/>
      </c>
      <c r="I6" s="15">
        <f>IF(F6&gt;0,H6/F6,0)</f>
        <v/>
      </c>
      <c r="J6" s="16">
        <f>F6-H6</f>
        <v/>
      </c>
      <c r="K6" s="14">
        <f>MAX(0,J6)</f>
        <v/>
      </c>
      <c r="L6" s="14">
        <f>MAX(0,-J6)</f>
        <v/>
      </c>
      <c r="M6" s="14">
        <f>L6</f>
        <v/>
      </c>
      <c r="N6" s="12">
        <f>IF(C6="","",IF(H6=0,"SEM CARGA",IF(OR(F6=0,I6&gt;=PARAMETROS!$C$7),"INSUFICIENTE",IF(I6&gt;=PARAMETROS!$C$6,"ATENÇÃO","OK"))))</f>
        <v/>
      </c>
      <c r="O6" s="15">
        <f>IF(PARAMETROS!$C$8="Nominal",IF(E6&gt;0,H6/E6,0),I6)</f>
        <v/>
      </c>
      <c r="P6" s="29">
        <f>IF(PARAMETROS!$F$11*PARAMETROS!$C$23*PARAMETROS!$C$24*PARAMETROS!$C$4&gt;0,H6/(PARAMETROS!$F$11*PARAMETROS!$C$23*PARAMETROS!$C$24*PARAMETROS!$C$4),0)</f>
        <v/>
      </c>
      <c r="Q6" s="14">
        <f>IF(C6="",0,PARAMETROS!$C$25/60*SUMPRODUCT((BASE!$F$6:$F$205=C6)*BASE!$L$6:$L$205*BASE!$O$6:$O$205))</f>
        <v/>
      </c>
      <c r="R6" s="15">
        <f>IF(F6+G6&gt;0,H6/(F6+G6),0)</f>
        <v/>
      </c>
    </row>
    <row r="7">
      <c r="A7" s="11" t="n">
        <v>1</v>
      </c>
      <c r="B7" s="11" t="n">
        <v>2</v>
      </c>
      <c r="C7" s="11">
        <f>IF(PARAMETROS!B33="","",PARAMETROS!B33)</f>
        <v/>
      </c>
      <c r="D7" s="11">
        <f>PARAMETROS!$C$18+PARAMETROS!$C$19+PARAMETROS!$C$20</f>
        <v/>
      </c>
      <c r="E7" s="14">
        <f>PARAMETROS!$C$4*(PARAMETROS!$C$18*PARAMETROS!$F$11+PARAMETROS!$C$19*PARAMETROS!$F$12+PARAMETROS!$C$20*PARAMETROS!$F$13)</f>
        <v/>
      </c>
      <c r="F7" s="14">
        <f>E7*PARAMETROS!$C$23*PARAMETROS!$C$24</f>
        <v/>
      </c>
      <c r="G7" s="14">
        <f>PARAMETROS!$C$22*PARAMETROS!$C$21*D7*PARAMETROS!$C$23*PARAMETROS!$C$24</f>
        <v/>
      </c>
      <c r="H7" s="14">
        <f>IF(C7="",0,PARAMETROS!$C$25/60*(IF(PARAMETROS!$C$27="Real",SUMPRODUCT((BASE!$F$6:$F$205=C7)*BASE!$L$6:$L$205*BASE!$N$6:$N$205),SUMPRODUCT((BASE!$F$6:$F$205=C7)*BASE!$L$6:$L$205*BASE!$H$6:$H$205))*PARAMETROS!$C$26+SUMPRODUCT((BASE!$F$6:$F$205=C7)*BASE!$L$6:$L$205*BASE!$O$6:$O$205)))</f>
        <v/>
      </c>
      <c r="I7" s="15">
        <f>IF(F7&gt;0,H7/F7,0)</f>
        <v/>
      </c>
      <c r="J7" s="16">
        <f>F7-H7</f>
        <v/>
      </c>
      <c r="K7" s="14">
        <f>MAX(0,J7)</f>
        <v/>
      </c>
      <c r="L7" s="14">
        <f>MAX(0,-J7)</f>
        <v/>
      </c>
      <c r="M7" s="14">
        <f>L7</f>
        <v/>
      </c>
      <c r="N7" s="12">
        <f>IF(C7="","",IF(H7=0,"SEM CARGA",IF(OR(F7=0,I7&gt;=PARAMETROS!$C$7),"INSUFICIENTE",IF(I7&gt;=PARAMETROS!$C$6,"ATENÇÃO","OK"))))</f>
        <v/>
      </c>
      <c r="O7" s="15">
        <f>IF(PARAMETROS!$C$8="Nominal",IF(E7&gt;0,H7/E7,0),I7)</f>
        <v/>
      </c>
      <c r="P7" s="29">
        <f>IF(PARAMETROS!$F$11*PARAMETROS!$C$23*PARAMETROS!$C$24*PARAMETROS!$C$4&gt;0,H7/(PARAMETROS!$F$11*PARAMETROS!$C$23*PARAMETROS!$C$24*PARAMETROS!$C$4),0)</f>
        <v/>
      </c>
      <c r="Q7" s="14">
        <f>IF(C7="",0,PARAMETROS!$C$25/60*SUMPRODUCT((BASE!$F$6:$F$205=C7)*BASE!$L$6:$L$205*BASE!$O$6:$O$205))</f>
        <v/>
      </c>
      <c r="R7" s="15">
        <f>IF(F7+G7&gt;0,H7/(F7+G7),0)</f>
        <v/>
      </c>
    </row>
    <row r="8">
      <c r="A8" s="11" t="n">
        <v>1</v>
      </c>
      <c r="B8" s="11" t="n">
        <v>3</v>
      </c>
      <c r="C8" s="11">
        <f>IF(PARAMETROS!B34="","",PARAMETROS!B34)</f>
        <v/>
      </c>
      <c r="D8" s="11">
        <f>PARAMETROS!$C$18+PARAMETROS!$C$19+PARAMETROS!$C$20</f>
        <v/>
      </c>
      <c r="E8" s="14">
        <f>PARAMETROS!$C$4*(PARAMETROS!$C$18*PARAMETROS!$F$11+PARAMETROS!$C$19*PARAMETROS!$F$12+PARAMETROS!$C$20*PARAMETROS!$F$13)</f>
        <v/>
      </c>
      <c r="F8" s="14">
        <f>E8*PARAMETROS!$C$23*PARAMETROS!$C$24</f>
        <v/>
      </c>
      <c r="G8" s="14">
        <f>PARAMETROS!$C$22*PARAMETROS!$C$21*D8*PARAMETROS!$C$23*PARAMETROS!$C$24</f>
        <v/>
      </c>
      <c r="H8" s="14">
        <f>IF(C8="",0,PARAMETROS!$C$25/60*(IF(PARAMETROS!$C$27="Real",SUMPRODUCT((BASE!$F$6:$F$205=C8)*BASE!$L$6:$L$205*BASE!$N$6:$N$205),SUMPRODUCT((BASE!$F$6:$F$205=C8)*BASE!$L$6:$L$205*BASE!$H$6:$H$205))*PARAMETROS!$C$26+SUMPRODUCT((BASE!$F$6:$F$205=C8)*BASE!$L$6:$L$205*BASE!$O$6:$O$205)))</f>
        <v/>
      </c>
      <c r="I8" s="15">
        <f>IF(F8&gt;0,H8/F8,0)</f>
        <v/>
      </c>
      <c r="J8" s="16">
        <f>F8-H8</f>
        <v/>
      </c>
      <c r="K8" s="14">
        <f>MAX(0,J8)</f>
        <v/>
      </c>
      <c r="L8" s="14">
        <f>MAX(0,-J8)</f>
        <v/>
      </c>
      <c r="M8" s="14">
        <f>L8</f>
        <v/>
      </c>
      <c r="N8" s="12">
        <f>IF(C8="","",IF(H8=0,"SEM CARGA",IF(OR(F8=0,I8&gt;=PARAMETROS!$C$7),"INSUFICIENTE",IF(I8&gt;=PARAMETROS!$C$6,"ATENÇÃO","OK"))))</f>
        <v/>
      </c>
      <c r="O8" s="15">
        <f>IF(PARAMETROS!$C$8="Nominal",IF(E8&gt;0,H8/E8,0),I8)</f>
        <v/>
      </c>
      <c r="P8" s="29">
        <f>IF(PARAMETROS!$F$11*PARAMETROS!$C$23*PARAMETROS!$C$24*PARAMETROS!$C$4&gt;0,H8/(PARAMETROS!$F$11*PARAMETROS!$C$23*PARAMETROS!$C$24*PARAMETROS!$C$4),0)</f>
        <v/>
      </c>
      <c r="Q8" s="14">
        <f>IF(C8="",0,PARAMETROS!$C$25/60*SUMPRODUCT((BASE!$F$6:$F$205=C8)*BASE!$L$6:$L$205*BASE!$O$6:$O$205))</f>
        <v/>
      </c>
      <c r="R8" s="15">
        <f>IF(F8+G8&gt;0,H8/(F8+G8),0)</f>
        <v/>
      </c>
    </row>
    <row r="9">
      <c r="A9" s="11" t="n">
        <v>1</v>
      </c>
      <c r="B9" s="11" t="n">
        <v>4</v>
      </c>
      <c r="C9" s="11">
        <f>IF(PARAMETROS!B35="","",PARAMETROS!B35)</f>
        <v/>
      </c>
      <c r="D9" s="11">
        <f>PARAMETROS!$C$18+PARAMETROS!$C$19+PARAMETROS!$C$20</f>
        <v/>
      </c>
      <c r="E9" s="14">
        <f>PARAMETROS!$C$4*(PARAMETROS!$C$18*PARAMETROS!$F$11+PARAMETROS!$C$19*PARAMETROS!$F$12+PARAMETROS!$C$20*PARAMETROS!$F$13)</f>
        <v/>
      </c>
      <c r="F9" s="14">
        <f>E9*PARAMETROS!$C$23*PARAMETROS!$C$24</f>
        <v/>
      </c>
      <c r="G9" s="14">
        <f>PARAMETROS!$C$22*PARAMETROS!$C$21*D9*PARAMETROS!$C$23*PARAMETROS!$C$24</f>
        <v/>
      </c>
      <c r="H9" s="14">
        <f>IF(C9="",0,PARAMETROS!$C$25/60*(IF(PARAMETROS!$C$27="Real",SUMPRODUCT((BASE!$F$6:$F$205=C9)*BASE!$L$6:$L$205*BASE!$N$6:$N$205),SUMPRODUCT((BASE!$F$6:$F$205=C9)*BASE!$L$6:$L$205*BASE!$H$6:$H$205))*PARAMETROS!$C$26+SUMPRODUCT((BASE!$F$6:$F$205=C9)*BASE!$L$6:$L$205*BASE!$O$6:$O$205)))</f>
        <v/>
      </c>
      <c r="I9" s="15">
        <f>IF(F9&gt;0,H9/F9,0)</f>
        <v/>
      </c>
      <c r="J9" s="16">
        <f>F9-H9</f>
        <v/>
      </c>
      <c r="K9" s="14">
        <f>MAX(0,J9)</f>
        <v/>
      </c>
      <c r="L9" s="14">
        <f>MAX(0,-J9)</f>
        <v/>
      </c>
      <c r="M9" s="14">
        <f>L9</f>
        <v/>
      </c>
      <c r="N9" s="12">
        <f>IF(C9="","",IF(H9=0,"SEM CARGA",IF(OR(F9=0,I9&gt;=PARAMETROS!$C$7),"INSUFICIENTE",IF(I9&gt;=PARAMETROS!$C$6,"ATENÇÃO","OK"))))</f>
        <v/>
      </c>
      <c r="O9" s="15">
        <f>IF(PARAMETROS!$C$8="Nominal",IF(E9&gt;0,H9/E9,0),I9)</f>
        <v/>
      </c>
      <c r="P9" s="29">
        <f>IF(PARAMETROS!$F$11*PARAMETROS!$C$23*PARAMETROS!$C$24*PARAMETROS!$C$4&gt;0,H9/(PARAMETROS!$F$11*PARAMETROS!$C$23*PARAMETROS!$C$24*PARAMETROS!$C$4),0)</f>
        <v/>
      </c>
      <c r="Q9" s="14">
        <f>IF(C9="",0,PARAMETROS!$C$25/60*SUMPRODUCT((BASE!$F$6:$F$205=C9)*BASE!$L$6:$L$205*BASE!$O$6:$O$205))</f>
        <v/>
      </c>
      <c r="R9" s="15">
        <f>IF(F9+G9&gt;0,H9/(F9+G9),0)</f>
        <v/>
      </c>
    </row>
    <row r="10">
      <c r="A10" s="11" t="n">
        <v>1</v>
      </c>
      <c r="B10" s="11" t="n">
        <v>5</v>
      </c>
      <c r="C10" s="11">
        <f>IF(PARAMETROS!B36="","",PARAMETROS!B36)</f>
        <v/>
      </c>
      <c r="D10" s="11">
        <f>PARAMETROS!$C$18+PARAMETROS!$C$19+PARAMETROS!$C$20</f>
        <v/>
      </c>
      <c r="E10" s="14">
        <f>PARAMETROS!$C$4*(PARAMETROS!$C$18*PARAMETROS!$F$11+PARAMETROS!$C$19*PARAMETROS!$F$12+PARAMETROS!$C$20*PARAMETROS!$F$13)</f>
        <v/>
      </c>
      <c r="F10" s="14">
        <f>E10*PARAMETROS!$C$23*PARAMETROS!$C$24</f>
        <v/>
      </c>
      <c r="G10" s="14">
        <f>PARAMETROS!$C$22*PARAMETROS!$C$21*D10*PARAMETROS!$C$23*PARAMETROS!$C$24</f>
        <v/>
      </c>
      <c r="H10" s="14">
        <f>IF(C10="",0,PARAMETROS!$C$25/60*(IF(PARAMETROS!$C$27="Real",SUMPRODUCT((BASE!$F$6:$F$205=C10)*BASE!$L$6:$L$205*BASE!$N$6:$N$205),SUMPRODUCT((BASE!$F$6:$F$205=C10)*BASE!$L$6:$L$205*BASE!$H$6:$H$205))*PARAMETROS!$C$26+SUMPRODUCT((BASE!$F$6:$F$205=C10)*BASE!$L$6:$L$205*BASE!$O$6:$O$205)))</f>
        <v/>
      </c>
      <c r="I10" s="15">
        <f>IF(F10&gt;0,H10/F10,0)</f>
        <v/>
      </c>
      <c r="J10" s="16">
        <f>F10-H10</f>
        <v/>
      </c>
      <c r="K10" s="14">
        <f>MAX(0,J10)</f>
        <v/>
      </c>
      <c r="L10" s="14">
        <f>MAX(0,-J10)</f>
        <v/>
      </c>
      <c r="M10" s="14">
        <f>L10</f>
        <v/>
      </c>
      <c r="N10" s="12">
        <f>IF(C10="","",IF(H10=0,"SEM CARGA",IF(OR(F10=0,I10&gt;=PARAMETROS!$C$7),"INSUFICIENTE",IF(I10&gt;=PARAMETROS!$C$6,"ATENÇÃO","OK"))))</f>
        <v/>
      </c>
      <c r="O10" s="15">
        <f>IF(PARAMETROS!$C$8="Nominal",IF(E10&gt;0,H10/E10,0),I10)</f>
        <v/>
      </c>
      <c r="P10" s="29">
        <f>IF(PARAMETROS!$F$11*PARAMETROS!$C$23*PARAMETROS!$C$24*PARAMETROS!$C$4&gt;0,H10/(PARAMETROS!$F$11*PARAMETROS!$C$23*PARAMETROS!$C$24*PARAMETROS!$C$4),0)</f>
        <v/>
      </c>
      <c r="Q10" s="14">
        <f>IF(C10="",0,PARAMETROS!$C$25/60*SUMPRODUCT((BASE!$F$6:$F$205=C10)*BASE!$L$6:$L$205*BASE!$O$6:$O$205))</f>
        <v/>
      </c>
      <c r="R10" s="15">
        <f>IF(F10+G10&gt;0,H10/(F10+G10),0)</f>
        <v/>
      </c>
    </row>
    <row r="11">
      <c r="A11" s="11" t="n">
        <v>1</v>
      </c>
      <c r="B11" s="11" t="n">
        <v>6</v>
      </c>
      <c r="C11" s="11">
        <f>IF(PARAMETROS!B37="","",PARAMETROS!B37)</f>
        <v/>
      </c>
      <c r="D11" s="11">
        <f>PARAMETROS!$C$18+PARAMETROS!$C$19+PARAMETROS!$C$20</f>
        <v/>
      </c>
      <c r="E11" s="14">
        <f>PARAMETROS!$C$4*(PARAMETROS!$C$18*PARAMETROS!$F$11+PARAMETROS!$C$19*PARAMETROS!$F$12+PARAMETROS!$C$20*PARAMETROS!$F$13)</f>
        <v/>
      </c>
      <c r="F11" s="14">
        <f>E11*PARAMETROS!$C$23*PARAMETROS!$C$24</f>
        <v/>
      </c>
      <c r="G11" s="14">
        <f>PARAMETROS!$C$22*PARAMETROS!$C$21*D11*PARAMETROS!$C$23*PARAMETROS!$C$24</f>
        <v/>
      </c>
      <c r="H11" s="14">
        <f>IF(C11="",0,PARAMETROS!$C$25/60*(IF(PARAMETROS!$C$27="Real",SUMPRODUCT((BASE!$F$6:$F$205=C11)*BASE!$L$6:$L$205*BASE!$N$6:$N$205),SUMPRODUCT((BASE!$F$6:$F$205=C11)*BASE!$L$6:$L$205*BASE!$H$6:$H$205))*PARAMETROS!$C$26+SUMPRODUCT((BASE!$F$6:$F$205=C11)*BASE!$L$6:$L$205*BASE!$O$6:$O$205)))</f>
        <v/>
      </c>
      <c r="I11" s="15">
        <f>IF(F11&gt;0,H11/F11,0)</f>
        <v/>
      </c>
      <c r="J11" s="16">
        <f>F11-H11</f>
        <v/>
      </c>
      <c r="K11" s="14">
        <f>MAX(0,J11)</f>
        <v/>
      </c>
      <c r="L11" s="14">
        <f>MAX(0,-J11)</f>
        <v/>
      </c>
      <c r="M11" s="14">
        <f>L11</f>
        <v/>
      </c>
      <c r="N11" s="12">
        <f>IF(C11="","",IF(H11=0,"SEM CARGA",IF(OR(F11=0,I11&gt;=PARAMETROS!$C$7),"INSUFICIENTE",IF(I11&gt;=PARAMETROS!$C$6,"ATENÇÃO","OK"))))</f>
        <v/>
      </c>
      <c r="O11" s="15">
        <f>IF(PARAMETROS!$C$8="Nominal",IF(E11&gt;0,H11/E11,0),I11)</f>
        <v/>
      </c>
      <c r="P11" s="29">
        <f>IF(PARAMETROS!$F$11*PARAMETROS!$C$23*PARAMETROS!$C$24*PARAMETROS!$C$4&gt;0,H11/(PARAMETROS!$F$11*PARAMETROS!$C$23*PARAMETROS!$C$24*PARAMETROS!$C$4),0)</f>
        <v/>
      </c>
      <c r="Q11" s="14">
        <f>IF(C11="",0,PARAMETROS!$C$25/60*SUMPRODUCT((BASE!$F$6:$F$205=C11)*BASE!$L$6:$L$205*BASE!$O$6:$O$205))</f>
        <v/>
      </c>
      <c r="R11" s="15">
        <f>IF(F11+G11&gt;0,H11/(F11+G11),0)</f>
        <v/>
      </c>
    </row>
    <row r="12">
      <c r="A12" s="11" t="n">
        <v>2</v>
      </c>
      <c r="B12" s="11" t="n">
        <v>1</v>
      </c>
      <c r="C12" s="11">
        <f>IF(PARAMETROS!B32="","",PARAMETROS!B32)</f>
        <v/>
      </c>
      <c r="D12" s="11">
        <f>PARAMETROS!$D$18+PARAMETROS!$D$19+PARAMETROS!$D$20</f>
        <v/>
      </c>
      <c r="E12" s="14">
        <f>PARAMETROS!$C$4*(PARAMETROS!$D$18*PARAMETROS!$F$11+PARAMETROS!$D$19*PARAMETROS!$F$12+PARAMETROS!$D$20*PARAMETROS!$F$13)</f>
        <v/>
      </c>
      <c r="F12" s="14">
        <f>E12*PARAMETROS!$D$23*PARAMETROS!$D$24</f>
        <v/>
      </c>
      <c r="G12" s="14">
        <f>PARAMETROS!$D$22*PARAMETROS!$D$21*D12*PARAMETROS!$D$23*PARAMETROS!$D$24</f>
        <v/>
      </c>
      <c r="H12" s="14">
        <f>IF(C12="",0,PARAMETROS!$D$25/60*(IF(PARAMETROS!$D$27="Real",SUMPRODUCT((BASE!$F$6:$F$205=C12)*BASE!$L$6:$L$205*BASE!$N$6:$N$205),SUMPRODUCT((BASE!$F$6:$F$205=C12)*BASE!$L$6:$L$205*BASE!$H$6:$H$205))*PARAMETROS!$D$26+SUMPRODUCT((BASE!$F$6:$F$205=C12)*BASE!$L$6:$L$205*BASE!$O$6:$O$205)))</f>
        <v/>
      </c>
      <c r="I12" s="15">
        <f>IF(F12&gt;0,H12/F12,0)</f>
        <v/>
      </c>
      <c r="J12" s="16">
        <f>F12-H12</f>
        <v/>
      </c>
      <c r="K12" s="14">
        <f>MAX(0,J12)</f>
        <v/>
      </c>
      <c r="L12" s="14">
        <f>MAX(0,-J12)</f>
        <v/>
      </c>
      <c r="M12" s="14">
        <f>L12</f>
        <v/>
      </c>
      <c r="N12" s="12">
        <f>IF(C12="","",IF(H12=0,"SEM CARGA",IF(OR(F12=0,I12&gt;=PARAMETROS!$C$7),"INSUFICIENTE",IF(I12&gt;=PARAMETROS!$C$6,"ATENÇÃO","OK"))))</f>
        <v/>
      </c>
      <c r="O12" s="15">
        <f>IF(PARAMETROS!$C$8="Nominal",IF(E12&gt;0,H12/E12,0),I12)</f>
        <v/>
      </c>
      <c r="P12" s="29">
        <f>IF(PARAMETROS!$F$11*PARAMETROS!$D$23*PARAMETROS!$D$24*PARAMETROS!$C$4&gt;0,H12/(PARAMETROS!$F$11*PARAMETROS!$D$23*PARAMETROS!$D$24*PARAMETROS!$C$4),0)</f>
        <v/>
      </c>
      <c r="Q12" s="14">
        <f>IF(C12="",0,PARAMETROS!$D$25/60*SUMPRODUCT((BASE!$F$6:$F$205=C12)*BASE!$L$6:$L$205*BASE!$O$6:$O$205))</f>
        <v/>
      </c>
      <c r="R12" s="15">
        <f>IF(F12+G12&gt;0,H12/(F12+G12),0)</f>
        <v/>
      </c>
    </row>
    <row r="13">
      <c r="A13" s="11" t="n">
        <v>2</v>
      </c>
      <c r="B13" s="11" t="n">
        <v>2</v>
      </c>
      <c r="C13" s="11">
        <f>IF(PARAMETROS!B33="","",PARAMETROS!B33)</f>
        <v/>
      </c>
      <c r="D13" s="11">
        <f>PARAMETROS!$D$18+PARAMETROS!$D$19+PARAMETROS!$D$20</f>
        <v/>
      </c>
      <c r="E13" s="14">
        <f>PARAMETROS!$C$4*(PARAMETROS!$D$18*PARAMETROS!$F$11+PARAMETROS!$D$19*PARAMETROS!$F$12+PARAMETROS!$D$20*PARAMETROS!$F$13)</f>
        <v/>
      </c>
      <c r="F13" s="14">
        <f>E13*PARAMETROS!$D$23*PARAMETROS!$D$24</f>
        <v/>
      </c>
      <c r="G13" s="14">
        <f>PARAMETROS!$D$22*PARAMETROS!$D$21*D13*PARAMETROS!$D$23*PARAMETROS!$D$24</f>
        <v/>
      </c>
      <c r="H13" s="14">
        <f>IF(C13="",0,PARAMETROS!$D$25/60*(IF(PARAMETROS!$D$27="Real",SUMPRODUCT((BASE!$F$6:$F$205=C13)*BASE!$L$6:$L$205*BASE!$N$6:$N$205),SUMPRODUCT((BASE!$F$6:$F$205=C13)*BASE!$L$6:$L$205*BASE!$H$6:$H$205))*PARAMETROS!$D$26+SUMPRODUCT((BASE!$F$6:$F$205=C13)*BASE!$L$6:$L$205*BASE!$O$6:$O$205)))</f>
        <v/>
      </c>
      <c r="I13" s="15">
        <f>IF(F13&gt;0,H13/F13,0)</f>
        <v/>
      </c>
      <c r="J13" s="16">
        <f>F13-H13</f>
        <v/>
      </c>
      <c r="K13" s="14">
        <f>MAX(0,J13)</f>
        <v/>
      </c>
      <c r="L13" s="14">
        <f>MAX(0,-J13)</f>
        <v/>
      </c>
      <c r="M13" s="14">
        <f>L13</f>
        <v/>
      </c>
      <c r="N13" s="12">
        <f>IF(C13="","",IF(H13=0,"SEM CARGA",IF(OR(F13=0,I13&gt;=PARAMETROS!$C$7),"INSUFICIENTE",IF(I13&gt;=PARAMETROS!$C$6,"ATENÇÃO","OK"))))</f>
        <v/>
      </c>
      <c r="O13" s="15">
        <f>IF(PARAMETROS!$C$8="Nominal",IF(E13&gt;0,H13/E13,0),I13)</f>
        <v/>
      </c>
      <c r="P13" s="29">
        <f>IF(PARAMETROS!$F$11*PARAMETROS!$D$23*PARAMETROS!$D$24*PARAMETROS!$C$4&gt;0,H13/(PARAMETROS!$F$11*PARAMETROS!$D$23*PARAMETROS!$D$24*PARAMETROS!$C$4),0)</f>
        <v/>
      </c>
      <c r="Q13" s="14">
        <f>IF(C13="",0,PARAMETROS!$D$25/60*SUMPRODUCT((BASE!$F$6:$F$205=C13)*BASE!$L$6:$L$205*BASE!$O$6:$O$205))</f>
        <v/>
      </c>
      <c r="R13" s="15">
        <f>IF(F13+G13&gt;0,H13/(F13+G13),0)</f>
        <v/>
      </c>
    </row>
    <row r="14">
      <c r="A14" s="11" t="n">
        <v>2</v>
      </c>
      <c r="B14" s="11" t="n">
        <v>3</v>
      </c>
      <c r="C14" s="11">
        <f>IF(PARAMETROS!B34="","",PARAMETROS!B34)</f>
        <v/>
      </c>
      <c r="D14" s="11">
        <f>PARAMETROS!$D$18+PARAMETROS!$D$19+PARAMETROS!$D$20</f>
        <v/>
      </c>
      <c r="E14" s="14">
        <f>PARAMETROS!$C$4*(PARAMETROS!$D$18*PARAMETROS!$F$11+PARAMETROS!$D$19*PARAMETROS!$F$12+PARAMETROS!$D$20*PARAMETROS!$F$13)</f>
        <v/>
      </c>
      <c r="F14" s="14">
        <f>E14*PARAMETROS!$D$23*PARAMETROS!$D$24</f>
        <v/>
      </c>
      <c r="G14" s="14">
        <f>PARAMETROS!$D$22*PARAMETROS!$D$21*D14*PARAMETROS!$D$23*PARAMETROS!$D$24</f>
        <v/>
      </c>
      <c r="H14" s="14">
        <f>IF(C14="",0,PARAMETROS!$D$25/60*(IF(PARAMETROS!$D$27="Real",SUMPRODUCT((BASE!$F$6:$F$205=C14)*BASE!$L$6:$L$205*BASE!$N$6:$N$205),SUMPRODUCT((BASE!$F$6:$F$205=C14)*BASE!$L$6:$L$205*BASE!$H$6:$H$205))*PARAMETROS!$D$26+SUMPRODUCT((BASE!$F$6:$F$205=C14)*BASE!$L$6:$L$205*BASE!$O$6:$O$205)))</f>
        <v/>
      </c>
      <c r="I14" s="15">
        <f>IF(F14&gt;0,H14/F14,0)</f>
        <v/>
      </c>
      <c r="J14" s="16">
        <f>F14-H14</f>
        <v/>
      </c>
      <c r="K14" s="14">
        <f>MAX(0,J14)</f>
        <v/>
      </c>
      <c r="L14" s="14">
        <f>MAX(0,-J14)</f>
        <v/>
      </c>
      <c r="M14" s="14">
        <f>L14</f>
        <v/>
      </c>
      <c r="N14" s="12">
        <f>IF(C14="","",IF(H14=0,"SEM CARGA",IF(OR(F14=0,I14&gt;=PARAMETROS!$C$7),"INSUFICIENTE",IF(I14&gt;=PARAMETROS!$C$6,"ATENÇÃO","OK"))))</f>
        <v/>
      </c>
      <c r="O14" s="15">
        <f>IF(PARAMETROS!$C$8="Nominal",IF(E14&gt;0,H14/E14,0),I14)</f>
        <v/>
      </c>
      <c r="P14" s="29">
        <f>IF(PARAMETROS!$F$11*PARAMETROS!$D$23*PARAMETROS!$D$24*PARAMETROS!$C$4&gt;0,H14/(PARAMETROS!$F$11*PARAMETROS!$D$23*PARAMETROS!$D$24*PARAMETROS!$C$4),0)</f>
        <v/>
      </c>
      <c r="Q14" s="14">
        <f>IF(C14="",0,PARAMETROS!$D$25/60*SUMPRODUCT((BASE!$F$6:$F$205=C14)*BASE!$L$6:$L$205*BASE!$O$6:$O$205))</f>
        <v/>
      </c>
      <c r="R14" s="15">
        <f>IF(F14+G14&gt;0,H14/(F14+G14),0)</f>
        <v/>
      </c>
    </row>
    <row r="15">
      <c r="A15" s="11" t="n">
        <v>2</v>
      </c>
      <c r="B15" s="11" t="n">
        <v>4</v>
      </c>
      <c r="C15" s="11">
        <f>IF(PARAMETROS!B35="","",PARAMETROS!B35)</f>
        <v/>
      </c>
      <c r="D15" s="11">
        <f>PARAMETROS!$D$18+PARAMETROS!$D$19+PARAMETROS!$D$20</f>
        <v/>
      </c>
      <c r="E15" s="14">
        <f>PARAMETROS!$C$4*(PARAMETROS!$D$18*PARAMETROS!$F$11+PARAMETROS!$D$19*PARAMETROS!$F$12+PARAMETROS!$D$20*PARAMETROS!$F$13)</f>
        <v/>
      </c>
      <c r="F15" s="14">
        <f>E15*PARAMETROS!$D$23*PARAMETROS!$D$24</f>
        <v/>
      </c>
      <c r="G15" s="14">
        <f>PARAMETROS!$D$22*PARAMETROS!$D$21*D15*PARAMETROS!$D$23*PARAMETROS!$D$24</f>
        <v/>
      </c>
      <c r="H15" s="14">
        <f>IF(C15="",0,PARAMETROS!$D$25/60*(IF(PARAMETROS!$D$27="Real",SUMPRODUCT((BASE!$F$6:$F$205=C15)*BASE!$L$6:$L$205*BASE!$N$6:$N$205),SUMPRODUCT((BASE!$F$6:$F$205=C15)*BASE!$L$6:$L$205*BASE!$H$6:$H$205))*PARAMETROS!$D$26+SUMPRODUCT((BASE!$F$6:$F$205=C15)*BASE!$L$6:$L$205*BASE!$O$6:$O$205)))</f>
        <v/>
      </c>
      <c r="I15" s="15">
        <f>IF(F15&gt;0,H15/F15,0)</f>
        <v/>
      </c>
      <c r="J15" s="16">
        <f>F15-H15</f>
        <v/>
      </c>
      <c r="K15" s="14">
        <f>MAX(0,J15)</f>
        <v/>
      </c>
      <c r="L15" s="14">
        <f>MAX(0,-J15)</f>
        <v/>
      </c>
      <c r="M15" s="14">
        <f>L15</f>
        <v/>
      </c>
      <c r="N15" s="12">
        <f>IF(C15="","",IF(H15=0,"SEM CARGA",IF(OR(F15=0,I15&gt;=PARAMETROS!$C$7),"INSUFICIENTE",IF(I15&gt;=PARAMETROS!$C$6,"ATENÇÃO","OK"))))</f>
        <v/>
      </c>
      <c r="O15" s="15">
        <f>IF(PARAMETROS!$C$8="Nominal",IF(E15&gt;0,H15/E15,0),I15)</f>
        <v/>
      </c>
      <c r="P15" s="29">
        <f>IF(PARAMETROS!$F$11*PARAMETROS!$D$23*PARAMETROS!$D$24*PARAMETROS!$C$4&gt;0,H15/(PARAMETROS!$F$11*PARAMETROS!$D$23*PARAMETROS!$D$24*PARAMETROS!$C$4),0)</f>
        <v/>
      </c>
      <c r="Q15" s="14">
        <f>IF(C15="",0,PARAMETROS!$D$25/60*SUMPRODUCT((BASE!$F$6:$F$205=C15)*BASE!$L$6:$L$205*BASE!$O$6:$O$205))</f>
        <v/>
      </c>
      <c r="R15" s="15">
        <f>IF(F15+G15&gt;0,H15/(F15+G15),0)</f>
        <v/>
      </c>
    </row>
    <row r="16">
      <c r="A16" s="11" t="n">
        <v>2</v>
      </c>
      <c r="B16" s="11" t="n">
        <v>5</v>
      </c>
      <c r="C16" s="11">
        <f>IF(PARAMETROS!B36="","",PARAMETROS!B36)</f>
        <v/>
      </c>
      <c r="D16" s="11">
        <f>PARAMETROS!$D$18+PARAMETROS!$D$19+PARAMETROS!$D$20</f>
        <v/>
      </c>
      <c r="E16" s="14">
        <f>PARAMETROS!$C$4*(PARAMETROS!$D$18*PARAMETROS!$F$11+PARAMETROS!$D$19*PARAMETROS!$F$12+PARAMETROS!$D$20*PARAMETROS!$F$13)</f>
        <v/>
      </c>
      <c r="F16" s="14">
        <f>E16*PARAMETROS!$D$23*PARAMETROS!$D$24</f>
        <v/>
      </c>
      <c r="G16" s="14">
        <f>PARAMETROS!$D$22*PARAMETROS!$D$21*D16*PARAMETROS!$D$23*PARAMETROS!$D$24</f>
        <v/>
      </c>
      <c r="H16" s="14">
        <f>IF(C16="",0,PARAMETROS!$D$25/60*(IF(PARAMETROS!$D$27="Real",SUMPRODUCT((BASE!$F$6:$F$205=C16)*BASE!$L$6:$L$205*BASE!$N$6:$N$205),SUMPRODUCT((BASE!$F$6:$F$205=C16)*BASE!$L$6:$L$205*BASE!$H$6:$H$205))*PARAMETROS!$D$26+SUMPRODUCT((BASE!$F$6:$F$205=C16)*BASE!$L$6:$L$205*BASE!$O$6:$O$205)))</f>
        <v/>
      </c>
      <c r="I16" s="15">
        <f>IF(F16&gt;0,H16/F16,0)</f>
        <v/>
      </c>
      <c r="J16" s="16">
        <f>F16-H16</f>
        <v/>
      </c>
      <c r="K16" s="14">
        <f>MAX(0,J16)</f>
        <v/>
      </c>
      <c r="L16" s="14">
        <f>MAX(0,-J16)</f>
        <v/>
      </c>
      <c r="M16" s="14">
        <f>L16</f>
        <v/>
      </c>
      <c r="N16" s="12">
        <f>IF(C16="","",IF(H16=0,"SEM CARGA",IF(OR(F16=0,I16&gt;=PARAMETROS!$C$7),"INSUFICIENTE",IF(I16&gt;=PARAMETROS!$C$6,"ATENÇÃO","OK"))))</f>
        <v/>
      </c>
      <c r="O16" s="15">
        <f>IF(PARAMETROS!$C$8="Nominal",IF(E16&gt;0,H16/E16,0),I16)</f>
        <v/>
      </c>
      <c r="P16" s="29">
        <f>IF(PARAMETROS!$F$11*PARAMETROS!$D$23*PARAMETROS!$D$24*PARAMETROS!$C$4&gt;0,H16/(PARAMETROS!$F$11*PARAMETROS!$D$23*PARAMETROS!$D$24*PARAMETROS!$C$4),0)</f>
        <v/>
      </c>
      <c r="Q16" s="14">
        <f>IF(C16="",0,PARAMETROS!$D$25/60*SUMPRODUCT((BASE!$F$6:$F$205=C16)*BASE!$L$6:$L$205*BASE!$O$6:$O$205))</f>
        <v/>
      </c>
      <c r="R16" s="15">
        <f>IF(F16+G16&gt;0,H16/(F16+G16),0)</f>
        <v/>
      </c>
    </row>
    <row r="17">
      <c r="A17" s="11" t="n">
        <v>2</v>
      </c>
      <c r="B17" s="11" t="n">
        <v>6</v>
      </c>
      <c r="C17" s="11">
        <f>IF(PARAMETROS!B37="","",PARAMETROS!B37)</f>
        <v/>
      </c>
      <c r="D17" s="11">
        <f>PARAMETROS!$D$18+PARAMETROS!$D$19+PARAMETROS!$D$20</f>
        <v/>
      </c>
      <c r="E17" s="14">
        <f>PARAMETROS!$C$4*(PARAMETROS!$D$18*PARAMETROS!$F$11+PARAMETROS!$D$19*PARAMETROS!$F$12+PARAMETROS!$D$20*PARAMETROS!$F$13)</f>
        <v/>
      </c>
      <c r="F17" s="14">
        <f>E17*PARAMETROS!$D$23*PARAMETROS!$D$24</f>
        <v/>
      </c>
      <c r="G17" s="14">
        <f>PARAMETROS!$D$22*PARAMETROS!$D$21*D17*PARAMETROS!$D$23*PARAMETROS!$D$24</f>
        <v/>
      </c>
      <c r="H17" s="14">
        <f>IF(C17="",0,PARAMETROS!$D$25/60*(IF(PARAMETROS!$D$27="Real",SUMPRODUCT((BASE!$F$6:$F$205=C17)*BASE!$L$6:$L$205*BASE!$N$6:$N$205),SUMPRODUCT((BASE!$F$6:$F$205=C17)*BASE!$L$6:$L$205*BASE!$H$6:$H$205))*PARAMETROS!$D$26+SUMPRODUCT((BASE!$F$6:$F$205=C17)*BASE!$L$6:$L$205*BASE!$O$6:$O$205)))</f>
        <v/>
      </c>
      <c r="I17" s="15">
        <f>IF(F17&gt;0,H17/F17,0)</f>
        <v/>
      </c>
      <c r="J17" s="16">
        <f>F17-H17</f>
        <v/>
      </c>
      <c r="K17" s="14">
        <f>MAX(0,J17)</f>
        <v/>
      </c>
      <c r="L17" s="14">
        <f>MAX(0,-J17)</f>
        <v/>
      </c>
      <c r="M17" s="14">
        <f>L17</f>
        <v/>
      </c>
      <c r="N17" s="12">
        <f>IF(C17="","",IF(H17=0,"SEM CARGA",IF(OR(F17=0,I17&gt;=PARAMETROS!$C$7),"INSUFICIENTE",IF(I17&gt;=PARAMETROS!$C$6,"ATENÇÃO","OK"))))</f>
        <v/>
      </c>
      <c r="O17" s="15">
        <f>IF(PARAMETROS!$C$8="Nominal",IF(E17&gt;0,H17/E17,0),I17)</f>
        <v/>
      </c>
      <c r="P17" s="29">
        <f>IF(PARAMETROS!$F$11*PARAMETROS!$D$23*PARAMETROS!$D$24*PARAMETROS!$C$4&gt;0,H17/(PARAMETROS!$F$11*PARAMETROS!$D$23*PARAMETROS!$D$24*PARAMETROS!$C$4),0)</f>
        <v/>
      </c>
      <c r="Q17" s="14">
        <f>IF(C17="",0,PARAMETROS!$D$25/60*SUMPRODUCT((BASE!$F$6:$F$205=C17)*BASE!$L$6:$L$205*BASE!$O$6:$O$205))</f>
        <v/>
      </c>
      <c r="R17" s="15">
        <f>IF(F17+G17&gt;0,H17/(F17+G17),0)</f>
        <v/>
      </c>
    </row>
    <row r="18">
      <c r="A18" s="11" t="n">
        <v>3</v>
      </c>
      <c r="B18" s="11" t="n">
        <v>1</v>
      </c>
      <c r="C18" s="11">
        <f>IF(PARAMETROS!B32="","",PARAMETROS!B32)</f>
        <v/>
      </c>
      <c r="D18" s="11">
        <f>PARAMETROS!$E$18+PARAMETROS!$E$19+PARAMETROS!$E$20</f>
        <v/>
      </c>
      <c r="E18" s="14">
        <f>PARAMETROS!$C$4*(PARAMETROS!$E$18*PARAMETROS!$F$11+PARAMETROS!$E$19*PARAMETROS!$F$12+PARAMETROS!$E$20*PARAMETROS!$F$13)</f>
        <v/>
      </c>
      <c r="F18" s="14">
        <f>E18*PARAMETROS!$E$23*PARAMETROS!$E$24</f>
        <v/>
      </c>
      <c r="G18" s="14">
        <f>PARAMETROS!$E$22*PARAMETROS!$E$21*D18*PARAMETROS!$E$23*PARAMETROS!$E$24</f>
        <v/>
      </c>
      <c r="H18" s="14">
        <f>IF(C18="",0,PARAMETROS!$E$25/60*(IF(PARAMETROS!$E$27="Real",SUMPRODUCT((BASE!$F$6:$F$205=C18)*BASE!$L$6:$L$205*BASE!$N$6:$N$205),SUMPRODUCT((BASE!$F$6:$F$205=C18)*BASE!$L$6:$L$205*BASE!$H$6:$H$205))*PARAMETROS!$E$26+SUMPRODUCT((BASE!$F$6:$F$205=C18)*BASE!$L$6:$L$205*BASE!$O$6:$O$205)))</f>
        <v/>
      </c>
      <c r="I18" s="15">
        <f>IF(F18&gt;0,H18/F18,0)</f>
        <v/>
      </c>
      <c r="J18" s="16">
        <f>F18-H18</f>
        <v/>
      </c>
      <c r="K18" s="14">
        <f>MAX(0,J18)</f>
        <v/>
      </c>
      <c r="L18" s="14">
        <f>MAX(0,-J18)</f>
        <v/>
      </c>
      <c r="M18" s="14">
        <f>L18</f>
        <v/>
      </c>
      <c r="N18" s="12">
        <f>IF(C18="","",IF(H18=0,"SEM CARGA",IF(OR(F18=0,I18&gt;=PARAMETROS!$C$7),"INSUFICIENTE",IF(I18&gt;=PARAMETROS!$C$6,"ATENÇÃO","OK"))))</f>
        <v/>
      </c>
      <c r="O18" s="15">
        <f>IF(PARAMETROS!$C$8="Nominal",IF(E18&gt;0,H18/E18,0),I18)</f>
        <v/>
      </c>
      <c r="P18" s="29">
        <f>IF(PARAMETROS!$F$11*PARAMETROS!$E$23*PARAMETROS!$E$24*PARAMETROS!$C$4&gt;0,H18/(PARAMETROS!$F$11*PARAMETROS!$E$23*PARAMETROS!$E$24*PARAMETROS!$C$4),0)</f>
        <v/>
      </c>
      <c r="Q18" s="14">
        <f>IF(C18="",0,PARAMETROS!$E$25/60*SUMPRODUCT((BASE!$F$6:$F$205=C18)*BASE!$L$6:$L$205*BASE!$O$6:$O$205))</f>
        <v/>
      </c>
      <c r="R18" s="15">
        <f>IF(F18+G18&gt;0,H18/(F18+G18),0)</f>
        <v/>
      </c>
    </row>
    <row r="19">
      <c r="A19" s="11" t="n">
        <v>3</v>
      </c>
      <c r="B19" s="11" t="n">
        <v>2</v>
      </c>
      <c r="C19" s="11">
        <f>IF(PARAMETROS!B33="","",PARAMETROS!B33)</f>
        <v/>
      </c>
      <c r="D19" s="11">
        <f>PARAMETROS!$E$18+PARAMETROS!$E$19+PARAMETROS!$E$20</f>
        <v/>
      </c>
      <c r="E19" s="14">
        <f>PARAMETROS!$C$4*(PARAMETROS!$E$18*PARAMETROS!$F$11+PARAMETROS!$E$19*PARAMETROS!$F$12+PARAMETROS!$E$20*PARAMETROS!$F$13)</f>
        <v/>
      </c>
      <c r="F19" s="14">
        <f>E19*PARAMETROS!$E$23*PARAMETROS!$E$24</f>
        <v/>
      </c>
      <c r="G19" s="14">
        <f>PARAMETROS!$E$22*PARAMETROS!$E$21*D19*PARAMETROS!$E$23*PARAMETROS!$E$24</f>
        <v/>
      </c>
      <c r="H19" s="14">
        <f>IF(C19="",0,PARAMETROS!$E$25/60*(IF(PARAMETROS!$E$27="Real",SUMPRODUCT((BASE!$F$6:$F$205=C19)*BASE!$L$6:$L$205*BASE!$N$6:$N$205),SUMPRODUCT((BASE!$F$6:$F$205=C19)*BASE!$L$6:$L$205*BASE!$H$6:$H$205))*PARAMETROS!$E$26+SUMPRODUCT((BASE!$F$6:$F$205=C19)*BASE!$L$6:$L$205*BASE!$O$6:$O$205)))</f>
        <v/>
      </c>
      <c r="I19" s="15">
        <f>IF(F19&gt;0,H19/F19,0)</f>
        <v/>
      </c>
      <c r="J19" s="16">
        <f>F19-H19</f>
        <v/>
      </c>
      <c r="K19" s="14">
        <f>MAX(0,J19)</f>
        <v/>
      </c>
      <c r="L19" s="14">
        <f>MAX(0,-J19)</f>
        <v/>
      </c>
      <c r="M19" s="14">
        <f>L19</f>
        <v/>
      </c>
      <c r="N19" s="12">
        <f>IF(C19="","",IF(H19=0,"SEM CARGA",IF(OR(F19=0,I19&gt;=PARAMETROS!$C$7),"INSUFICIENTE",IF(I19&gt;=PARAMETROS!$C$6,"ATENÇÃO","OK"))))</f>
        <v/>
      </c>
      <c r="O19" s="15">
        <f>IF(PARAMETROS!$C$8="Nominal",IF(E19&gt;0,H19/E19,0),I19)</f>
        <v/>
      </c>
      <c r="P19" s="29">
        <f>IF(PARAMETROS!$F$11*PARAMETROS!$E$23*PARAMETROS!$E$24*PARAMETROS!$C$4&gt;0,H19/(PARAMETROS!$F$11*PARAMETROS!$E$23*PARAMETROS!$E$24*PARAMETROS!$C$4),0)</f>
        <v/>
      </c>
      <c r="Q19" s="14">
        <f>IF(C19="",0,PARAMETROS!$E$25/60*SUMPRODUCT((BASE!$F$6:$F$205=C19)*BASE!$L$6:$L$205*BASE!$O$6:$O$205))</f>
        <v/>
      </c>
      <c r="R19" s="15">
        <f>IF(F19+G19&gt;0,H19/(F19+G19),0)</f>
        <v/>
      </c>
    </row>
    <row r="20">
      <c r="A20" s="11" t="n">
        <v>3</v>
      </c>
      <c r="B20" s="11" t="n">
        <v>3</v>
      </c>
      <c r="C20" s="11">
        <f>IF(PARAMETROS!B34="","",PARAMETROS!B34)</f>
        <v/>
      </c>
      <c r="D20" s="11">
        <f>PARAMETROS!$E$18+PARAMETROS!$E$19+PARAMETROS!$E$20</f>
        <v/>
      </c>
      <c r="E20" s="14">
        <f>PARAMETROS!$C$4*(PARAMETROS!$E$18*PARAMETROS!$F$11+PARAMETROS!$E$19*PARAMETROS!$F$12+PARAMETROS!$E$20*PARAMETROS!$F$13)</f>
        <v/>
      </c>
      <c r="F20" s="14">
        <f>E20*PARAMETROS!$E$23*PARAMETROS!$E$24</f>
        <v/>
      </c>
      <c r="G20" s="14">
        <f>PARAMETROS!$E$22*PARAMETROS!$E$21*D20*PARAMETROS!$E$23*PARAMETROS!$E$24</f>
        <v/>
      </c>
      <c r="H20" s="14">
        <f>IF(C20="",0,PARAMETROS!$E$25/60*(IF(PARAMETROS!$E$27="Real",SUMPRODUCT((BASE!$F$6:$F$205=C20)*BASE!$L$6:$L$205*BASE!$N$6:$N$205),SUMPRODUCT((BASE!$F$6:$F$205=C20)*BASE!$L$6:$L$205*BASE!$H$6:$H$205))*PARAMETROS!$E$26+SUMPRODUCT((BASE!$F$6:$F$205=C20)*BASE!$L$6:$L$205*BASE!$O$6:$O$205)))</f>
        <v/>
      </c>
      <c r="I20" s="15">
        <f>IF(F20&gt;0,H20/F20,0)</f>
        <v/>
      </c>
      <c r="J20" s="16">
        <f>F20-H20</f>
        <v/>
      </c>
      <c r="K20" s="14">
        <f>MAX(0,J20)</f>
        <v/>
      </c>
      <c r="L20" s="14">
        <f>MAX(0,-J20)</f>
        <v/>
      </c>
      <c r="M20" s="14">
        <f>L20</f>
        <v/>
      </c>
      <c r="N20" s="12">
        <f>IF(C20="","",IF(H20=0,"SEM CARGA",IF(OR(F20=0,I20&gt;=PARAMETROS!$C$7),"INSUFICIENTE",IF(I20&gt;=PARAMETROS!$C$6,"ATENÇÃO","OK"))))</f>
        <v/>
      </c>
      <c r="O20" s="15">
        <f>IF(PARAMETROS!$C$8="Nominal",IF(E20&gt;0,H20/E20,0),I20)</f>
        <v/>
      </c>
      <c r="P20" s="29">
        <f>IF(PARAMETROS!$F$11*PARAMETROS!$E$23*PARAMETROS!$E$24*PARAMETROS!$C$4&gt;0,H20/(PARAMETROS!$F$11*PARAMETROS!$E$23*PARAMETROS!$E$24*PARAMETROS!$C$4),0)</f>
        <v/>
      </c>
      <c r="Q20" s="14">
        <f>IF(C20="",0,PARAMETROS!$E$25/60*SUMPRODUCT((BASE!$F$6:$F$205=C20)*BASE!$L$6:$L$205*BASE!$O$6:$O$205))</f>
        <v/>
      </c>
      <c r="R20" s="15">
        <f>IF(F20+G20&gt;0,H20/(F20+G20),0)</f>
        <v/>
      </c>
    </row>
    <row r="21">
      <c r="A21" s="11" t="n">
        <v>3</v>
      </c>
      <c r="B21" s="11" t="n">
        <v>4</v>
      </c>
      <c r="C21" s="11">
        <f>IF(PARAMETROS!B35="","",PARAMETROS!B35)</f>
        <v/>
      </c>
      <c r="D21" s="11">
        <f>PARAMETROS!$E$18+PARAMETROS!$E$19+PARAMETROS!$E$20</f>
        <v/>
      </c>
      <c r="E21" s="14">
        <f>PARAMETROS!$C$4*(PARAMETROS!$E$18*PARAMETROS!$F$11+PARAMETROS!$E$19*PARAMETROS!$F$12+PARAMETROS!$E$20*PARAMETROS!$F$13)</f>
        <v/>
      </c>
      <c r="F21" s="14">
        <f>E21*PARAMETROS!$E$23*PARAMETROS!$E$24</f>
        <v/>
      </c>
      <c r="G21" s="14">
        <f>PARAMETROS!$E$22*PARAMETROS!$E$21*D21*PARAMETROS!$E$23*PARAMETROS!$E$24</f>
        <v/>
      </c>
      <c r="H21" s="14">
        <f>IF(C21="",0,PARAMETROS!$E$25/60*(IF(PARAMETROS!$E$27="Real",SUMPRODUCT((BASE!$F$6:$F$205=C21)*BASE!$L$6:$L$205*BASE!$N$6:$N$205),SUMPRODUCT((BASE!$F$6:$F$205=C21)*BASE!$L$6:$L$205*BASE!$H$6:$H$205))*PARAMETROS!$E$26+SUMPRODUCT((BASE!$F$6:$F$205=C21)*BASE!$L$6:$L$205*BASE!$O$6:$O$205)))</f>
        <v/>
      </c>
      <c r="I21" s="15">
        <f>IF(F21&gt;0,H21/F21,0)</f>
        <v/>
      </c>
      <c r="J21" s="16">
        <f>F21-H21</f>
        <v/>
      </c>
      <c r="K21" s="14">
        <f>MAX(0,J21)</f>
        <v/>
      </c>
      <c r="L21" s="14">
        <f>MAX(0,-J21)</f>
        <v/>
      </c>
      <c r="M21" s="14">
        <f>L21</f>
        <v/>
      </c>
      <c r="N21" s="12">
        <f>IF(C21="","",IF(H21=0,"SEM CARGA",IF(OR(F21=0,I21&gt;=PARAMETROS!$C$7),"INSUFICIENTE",IF(I21&gt;=PARAMETROS!$C$6,"ATENÇÃO","OK"))))</f>
        <v/>
      </c>
      <c r="O21" s="15">
        <f>IF(PARAMETROS!$C$8="Nominal",IF(E21&gt;0,H21/E21,0),I21)</f>
        <v/>
      </c>
      <c r="P21" s="29">
        <f>IF(PARAMETROS!$F$11*PARAMETROS!$E$23*PARAMETROS!$E$24*PARAMETROS!$C$4&gt;0,H21/(PARAMETROS!$F$11*PARAMETROS!$E$23*PARAMETROS!$E$24*PARAMETROS!$C$4),0)</f>
        <v/>
      </c>
      <c r="Q21" s="14">
        <f>IF(C21="",0,PARAMETROS!$E$25/60*SUMPRODUCT((BASE!$F$6:$F$205=C21)*BASE!$L$6:$L$205*BASE!$O$6:$O$205))</f>
        <v/>
      </c>
      <c r="R21" s="15">
        <f>IF(F21+G21&gt;0,H21/(F21+G21),0)</f>
        <v/>
      </c>
    </row>
    <row r="22">
      <c r="A22" s="11" t="n">
        <v>3</v>
      </c>
      <c r="B22" s="11" t="n">
        <v>5</v>
      </c>
      <c r="C22" s="11">
        <f>IF(PARAMETROS!B36="","",PARAMETROS!B36)</f>
        <v/>
      </c>
      <c r="D22" s="11">
        <f>PARAMETROS!$E$18+PARAMETROS!$E$19+PARAMETROS!$E$20</f>
        <v/>
      </c>
      <c r="E22" s="14">
        <f>PARAMETROS!$C$4*(PARAMETROS!$E$18*PARAMETROS!$F$11+PARAMETROS!$E$19*PARAMETROS!$F$12+PARAMETROS!$E$20*PARAMETROS!$F$13)</f>
        <v/>
      </c>
      <c r="F22" s="14">
        <f>E22*PARAMETROS!$E$23*PARAMETROS!$E$24</f>
        <v/>
      </c>
      <c r="G22" s="14">
        <f>PARAMETROS!$E$22*PARAMETROS!$E$21*D22*PARAMETROS!$E$23*PARAMETROS!$E$24</f>
        <v/>
      </c>
      <c r="H22" s="14">
        <f>IF(C22="",0,PARAMETROS!$E$25/60*(IF(PARAMETROS!$E$27="Real",SUMPRODUCT((BASE!$F$6:$F$205=C22)*BASE!$L$6:$L$205*BASE!$N$6:$N$205),SUMPRODUCT((BASE!$F$6:$F$205=C22)*BASE!$L$6:$L$205*BASE!$H$6:$H$205))*PARAMETROS!$E$26+SUMPRODUCT((BASE!$F$6:$F$205=C22)*BASE!$L$6:$L$205*BASE!$O$6:$O$205)))</f>
        <v/>
      </c>
      <c r="I22" s="15">
        <f>IF(F22&gt;0,H22/F22,0)</f>
        <v/>
      </c>
      <c r="J22" s="16">
        <f>F22-H22</f>
        <v/>
      </c>
      <c r="K22" s="14">
        <f>MAX(0,J22)</f>
        <v/>
      </c>
      <c r="L22" s="14">
        <f>MAX(0,-J22)</f>
        <v/>
      </c>
      <c r="M22" s="14">
        <f>L22</f>
        <v/>
      </c>
      <c r="N22" s="12">
        <f>IF(C22="","",IF(H22=0,"SEM CARGA",IF(OR(F22=0,I22&gt;=PARAMETROS!$C$7),"INSUFICIENTE",IF(I22&gt;=PARAMETROS!$C$6,"ATENÇÃO","OK"))))</f>
        <v/>
      </c>
      <c r="O22" s="15">
        <f>IF(PARAMETROS!$C$8="Nominal",IF(E22&gt;0,H22/E22,0),I22)</f>
        <v/>
      </c>
      <c r="P22" s="29">
        <f>IF(PARAMETROS!$F$11*PARAMETROS!$E$23*PARAMETROS!$E$24*PARAMETROS!$C$4&gt;0,H22/(PARAMETROS!$F$11*PARAMETROS!$E$23*PARAMETROS!$E$24*PARAMETROS!$C$4),0)</f>
        <v/>
      </c>
      <c r="Q22" s="14">
        <f>IF(C22="",0,PARAMETROS!$E$25/60*SUMPRODUCT((BASE!$F$6:$F$205=C22)*BASE!$L$6:$L$205*BASE!$O$6:$O$205))</f>
        <v/>
      </c>
      <c r="R22" s="15">
        <f>IF(F22+G22&gt;0,H22/(F22+G22),0)</f>
        <v/>
      </c>
    </row>
    <row r="23">
      <c r="A23" s="11" t="n">
        <v>3</v>
      </c>
      <c r="B23" s="11" t="n">
        <v>6</v>
      </c>
      <c r="C23" s="11">
        <f>IF(PARAMETROS!B37="","",PARAMETROS!B37)</f>
        <v/>
      </c>
      <c r="D23" s="11">
        <f>PARAMETROS!$E$18+PARAMETROS!$E$19+PARAMETROS!$E$20</f>
        <v/>
      </c>
      <c r="E23" s="14">
        <f>PARAMETROS!$C$4*(PARAMETROS!$E$18*PARAMETROS!$F$11+PARAMETROS!$E$19*PARAMETROS!$F$12+PARAMETROS!$E$20*PARAMETROS!$F$13)</f>
        <v/>
      </c>
      <c r="F23" s="14">
        <f>E23*PARAMETROS!$E$23*PARAMETROS!$E$24</f>
        <v/>
      </c>
      <c r="G23" s="14">
        <f>PARAMETROS!$E$22*PARAMETROS!$E$21*D23*PARAMETROS!$E$23*PARAMETROS!$E$24</f>
        <v/>
      </c>
      <c r="H23" s="14">
        <f>IF(C23="",0,PARAMETROS!$E$25/60*(IF(PARAMETROS!$E$27="Real",SUMPRODUCT((BASE!$F$6:$F$205=C23)*BASE!$L$6:$L$205*BASE!$N$6:$N$205),SUMPRODUCT((BASE!$F$6:$F$205=C23)*BASE!$L$6:$L$205*BASE!$H$6:$H$205))*PARAMETROS!$E$26+SUMPRODUCT((BASE!$F$6:$F$205=C23)*BASE!$L$6:$L$205*BASE!$O$6:$O$205)))</f>
        <v/>
      </c>
      <c r="I23" s="15">
        <f>IF(F23&gt;0,H23/F23,0)</f>
        <v/>
      </c>
      <c r="J23" s="16">
        <f>F23-H23</f>
        <v/>
      </c>
      <c r="K23" s="14">
        <f>MAX(0,J23)</f>
        <v/>
      </c>
      <c r="L23" s="14">
        <f>MAX(0,-J23)</f>
        <v/>
      </c>
      <c r="M23" s="14">
        <f>L23</f>
        <v/>
      </c>
      <c r="N23" s="12">
        <f>IF(C23="","",IF(H23=0,"SEM CARGA",IF(OR(F23=0,I23&gt;=PARAMETROS!$C$7),"INSUFICIENTE",IF(I23&gt;=PARAMETROS!$C$6,"ATENÇÃO","OK"))))</f>
        <v/>
      </c>
      <c r="O23" s="15">
        <f>IF(PARAMETROS!$C$8="Nominal",IF(E23&gt;0,H23/E23,0),I23)</f>
        <v/>
      </c>
      <c r="P23" s="29">
        <f>IF(PARAMETROS!$F$11*PARAMETROS!$E$23*PARAMETROS!$E$24*PARAMETROS!$C$4&gt;0,H23/(PARAMETROS!$F$11*PARAMETROS!$E$23*PARAMETROS!$E$24*PARAMETROS!$C$4),0)</f>
        <v/>
      </c>
      <c r="Q23" s="14">
        <f>IF(C23="",0,PARAMETROS!$E$25/60*SUMPRODUCT((BASE!$F$6:$F$205=C23)*BASE!$L$6:$L$205*BASE!$O$6:$O$205))</f>
        <v/>
      </c>
      <c r="R23" s="15">
        <f>IF(F23+G23&gt;0,H23/(F23+G23),0)</f>
        <v/>
      </c>
    </row>
    <row r="24">
      <c r="A24" s="11" t="n">
        <v>4</v>
      </c>
      <c r="B24" s="11" t="n">
        <v>1</v>
      </c>
      <c r="C24" s="11">
        <f>IF(PARAMETROS!B32="","",PARAMETROS!B32)</f>
        <v/>
      </c>
      <c r="D24" s="11">
        <f>PARAMETROS!$F$18+PARAMETROS!$F$19+PARAMETROS!$F$20</f>
        <v/>
      </c>
      <c r="E24" s="14">
        <f>PARAMETROS!$C$4*(PARAMETROS!$F$18*PARAMETROS!$F$11+PARAMETROS!$F$19*PARAMETROS!$F$12+PARAMETROS!$F$20*PARAMETROS!$F$13)</f>
        <v/>
      </c>
      <c r="F24" s="14">
        <f>E24*PARAMETROS!$F$23*PARAMETROS!$F$24</f>
        <v/>
      </c>
      <c r="G24" s="14">
        <f>PARAMETROS!$F$22*PARAMETROS!$F$21*D24*PARAMETROS!$F$23*PARAMETROS!$F$24</f>
        <v/>
      </c>
      <c r="H24" s="14">
        <f>IF(C24="",0,PARAMETROS!$F$25/60*(IF(PARAMETROS!$F$27="Real",SUMPRODUCT((BASE!$F$6:$F$205=C24)*BASE!$L$6:$L$205*BASE!$N$6:$N$205),SUMPRODUCT((BASE!$F$6:$F$205=C24)*BASE!$L$6:$L$205*BASE!$H$6:$H$205))*PARAMETROS!$F$26+SUMPRODUCT((BASE!$F$6:$F$205=C24)*BASE!$L$6:$L$205*BASE!$O$6:$O$205)))</f>
        <v/>
      </c>
      <c r="I24" s="15">
        <f>IF(F24&gt;0,H24/F24,0)</f>
        <v/>
      </c>
      <c r="J24" s="16">
        <f>F24-H24</f>
        <v/>
      </c>
      <c r="K24" s="14">
        <f>MAX(0,J24)</f>
        <v/>
      </c>
      <c r="L24" s="14">
        <f>MAX(0,-J24)</f>
        <v/>
      </c>
      <c r="M24" s="14">
        <f>L24</f>
        <v/>
      </c>
      <c r="N24" s="12">
        <f>IF(C24="","",IF(H24=0,"SEM CARGA",IF(OR(F24=0,I24&gt;=PARAMETROS!$C$7),"INSUFICIENTE",IF(I24&gt;=PARAMETROS!$C$6,"ATENÇÃO","OK"))))</f>
        <v/>
      </c>
      <c r="O24" s="15">
        <f>IF(PARAMETROS!$C$8="Nominal",IF(E24&gt;0,H24/E24,0),I24)</f>
        <v/>
      </c>
      <c r="P24" s="29">
        <f>IF(PARAMETROS!$F$11*PARAMETROS!$F$23*PARAMETROS!$F$24*PARAMETROS!$C$4&gt;0,H24/(PARAMETROS!$F$11*PARAMETROS!$F$23*PARAMETROS!$F$24*PARAMETROS!$C$4),0)</f>
        <v/>
      </c>
      <c r="Q24" s="14">
        <f>IF(C24="",0,PARAMETROS!$F$25/60*SUMPRODUCT((BASE!$F$6:$F$205=C24)*BASE!$L$6:$L$205*BASE!$O$6:$O$205))</f>
        <v/>
      </c>
      <c r="R24" s="15">
        <f>IF(F24+G24&gt;0,H24/(F24+G24),0)</f>
        <v/>
      </c>
    </row>
    <row r="25">
      <c r="A25" s="11" t="n">
        <v>4</v>
      </c>
      <c r="B25" s="11" t="n">
        <v>2</v>
      </c>
      <c r="C25" s="11">
        <f>IF(PARAMETROS!B33="","",PARAMETROS!B33)</f>
        <v/>
      </c>
      <c r="D25" s="11">
        <f>PARAMETROS!$F$18+PARAMETROS!$F$19+PARAMETROS!$F$20</f>
        <v/>
      </c>
      <c r="E25" s="14">
        <f>PARAMETROS!$C$4*(PARAMETROS!$F$18*PARAMETROS!$F$11+PARAMETROS!$F$19*PARAMETROS!$F$12+PARAMETROS!$F$20*PARAMETROS!$F$13)</f>
        <v/>
      </c>
      <c r="F25" s="14">
        <f>E25*PARAMETROS!$F$23*PARAMETROS!$F$24</f>
        <v/>
      </c>
      <c r="G25" s="14">
        <f>PARAMETROS!$F$22*PARAMETROS!$F$21*D25*PARAMETROS!$F$23*PARAMETROS!$F$24</f>
        <v/>
      </c>
      <c r="H25" s="14">
        <f>IF(C25="",0,PARAMETROS!$F$25/60*(IF(PARAMETROS!$F$27="Real",SUMPRODUCT((BASE!$F$6:$F$205=C25)*BASE!$L$6:$L$205*BASE!$N$6:$N$205),SUMPRODUCT((BASE!$F$6:$F$205=C25)*BASE!$L$6:$L$205*BASE!$H$6:$H$205))*PARAMETROS!$F$26+SUMPRODUCT((BASE!$F$6:$F$205=C25)*BASE!$L$6:$L$205*BASE!$O$6:$O$205)))</f>
        <v/>
      </c>
      <c r="I25" s="15">
        <f>IF(F25&gt;0,H25/F25,0)</f>
        <v/>
      </c>
      <c r="J25" s="16">
        <f>F25-H25</f>
        <v/>
      </c>
      <c r="K25" s="14">
        <f>MAX(0,J25)</f>
        <v/>
      </c>
      <c r="L25" s="14">
        <f>MAX(0,-J25)</f>
        <v/>
      </c>
      <c r="M25" s="14">
        <f>L25</f>
        <v/>
      </c>
      <c r="N25" s="12">
        <f>IF(C25="","",IF(H25=0,"SEM CARGA",IF(OR(F25=0,I25&gt;=PARAMETROS!$C$7),"INSUFICIENTE",IF(I25&gt;=PARAMETROS!$C$6,"ATENÇÃO","OK"))))</f>
        <v/>
      </c>
      <c r="O25" s="15">
        <f>IF(PARAMETROS!$C$8="Nominal",IF(E25&gt;0,H25/E25,0),I25)</f>
        <v/>
      </c>
      <c r="P25" s="29">
        <f>IF(PARAMETROS!$F$11*PARAMETROS!$F$23*PARAMETROS!$F$24*PARAMETROS!$C$4&gt;0,H25/(PARAMETROS!$F$11*PARAMETROS!$F$23*PARAMETROS!$F$24*PARAMETROS!$C$4),0)</f>
        <v/>
      </c>
      <c r="Q25" s="14">
        <f>IF(C25="",0,PARAMETROS!$F$25/60*SUMPRODUCT((BASE!$F$6:$F$205=C25)*BASE!$L$6:$L$205*BASE!$O$6:$O$205))</f>
        <v/>
      </c>
      <c r="R25" s="15">
        <f>IF(F25+G25&gt;0,H25/(F25+G25),0)</f>
        <v/>
      </c>
    </row>
    <row r="26">
      <c r="A26" s="11" t="n">
        <v>4</v>
      </c>
      <c r="B26" s="11" t="n">
        <v>3</v>
      </c>
      <c r="C26" s="11">
        <f>IF(PARAMETROS!B34="","",PARAMETROS!B34)</f>
        <v/>
      </c>
      <c r="D26" s="11">
        <f>PARAMETROS!$F$18+PARAMETROS!$F$19+PARAMETROS!$F$20</f>
        <v/>
      </c>
      <c r="E26" s="14">
        <f>PARAMETROS!$C$4*(PARAMETROS!$F$18*PARAMETROS!$F$11+PARAMETROS!$F$19*PARAMETROS!$F$12+PARAMETROS!$F$20*PARAMETROS!$F$13)</f>
        <v/>
      </c>
      <c r="F26" s="14">
        <f>E26*PARAMETROS!$F$23*PARAMETROS!$F$24</f>
        <v/>
      </c>
      <c r="G26" s="14">
        <f>PARAMETROS!$F$22*PARAMETROS!$F$21*D26*PARAMETROS!$F$23*PARAMETROS!$F$24</f>
        <v/>
      </c>
      <c r="H26" s="14">
        <f>IF(C26="",0,PARAMETROS!$F$25/60*(IF(PARAMETROS!$F$27="Real",SUMPRODUCT((BASE!$F$6:$F$205=C26)*BASE!$L$6:$L$205*BASE!$N$6:$N$205),SUMPRODUCT((BASE!$F$6:$F$205=C26)*BASE!$L$6:$L$205*BASE!$H$6:$H$205))*PARAMETROS!$F$26+SUMPRODUCT((BASE!$F$6:$F$205=C26)*BASE!$L$6:$L$205*BASE!$O$6:$O$205)))</f>
        <v/>
      </c>
      <c r="I26" s="15">
        <f>IF(F26&gt;0,H26/F26,0)</f>
        <v/>
      </c>
      <c r="J26" s="16">
        <f>F26-H26</f>
        <v/>
      </c>
      <c r="K26" s="14">
        <f>MAX(0,J26)</f>
        <v/>
      </c>
      <c r="L26" s="14">
        <f>MAX(0,-J26)</f>
        <v/>
      </c>
      <c r="M26" s="14">
        <f>L26</f>
        <v/>
      </c>
      <c r="N26" s="12">
        <f>IF(C26="","",IF(H26=0,"SEM CARGA",IF(OR(F26=0,I26&gt;=PARAMETROS!$C$7),"INSUFICIENTE",IF(I26&gt;=PARAMETROS!$C$6,"ATENÇÃO","OK"))))</f>
        <v/>
      </c>
      <c r="O26" s="15">
        <f>IF(PARAMETROS!$C$8="Nominal",IF(E26&gt;0,H26/E26,0),I26)</f>
        <v/>
      </c>
      <c r="P26" s="29">
        <f>IF(PARAMETROS!$F$11*PARAMETROS!$F$23*PARAMETROS!$F$24*PARAMETROS!$C$4&gt;0,H26/(PARAMETROS!$F$11*PARAMETROS!$F$23*PARAMETROS!$F$24*PARAMETROS!$C$4),0)</f>
        <v/>
      </c>
      <c r="Q26" s="14">
        <f>IF(C26="",0,PARAMETROS!$F$25/60*SUMPRODUCT((BASE!$F$6:$F$205=C26)*BASE!$L$6:$L$205*BASE!$O$6:$O$205))</f>
        <v/>
      </c>
      <c r="R26" s="15">
        <f>IF(F26+G26&gt;0,H26/(F26+G26),0)</f>
        <v/>
      </c>
    </row>
    <row r="27">
      <c r="A27" s="11" t="n">
        <v>4</v>
      </c>
      <c r="B27" s="11" t="n">
        <v>4</v>
      </c>
      <c r="C27" s="11">
        <f>IF(PARAMETROS!B35="","",PARAMETROS!B35)</f>
        <v/>
      </c>
      <c r="D27" s="11">
        <f>PARAMETROS!$F$18+PARAMETROS!$F$19+PARAMETROS!$F$20</f>
        <v/>
      </c>
      <c r="E27" s="14">
        <f>PARAMETROS!$C$4*(PARAMETROS!$F$18*PARAMETROS!$F$11+PARAMETROS!$F$19*PARAMETROS!$F$12+PARAMETROS!$F$20*PARAMETROS!$F$13)</f>
        <v/>
      </c>
      <c r="F27" s="14">
        <f>E27*PARAMETROS!$F$23*PARAMETROS!$F$24</f>
        <v/>
      </c>
      <c r="G27" s="14">
        <f>PARAMETROS!$F$22*PARAMETROS!$F$21*D27*PARAMETROS!$F$23*PARAMETROS!$F$24</f>
        <v/>
      </c>
      <c r="H27" s="14">
        <f>IF(C27="",0,PARAMETROS!$F$25/60*(IF(PARAMETROS!$F$27="Real",SUMPRODUCT((BASE!$F$6:$F$205=C27)*BASE!$L$6:$L$205*BASE!$N$6:$N$205),SUMPRODUCT((BASE!$F$6:$F$205=C27)*BASE!$L$6:$L$205*BASE!$H$6:$H$205))*PARAMETROS!$F$26+SUMPRODUCT((BASE!$F$6:$F$205=C27)*BASE!$L$6:$L$205*BASE!$O$6:$O$205)))</f>
        <v/>
      </c>
      <c r="I27" s="15">
        <f>IF(F27&gt;0,H27/F27,0)</f>
        <v/>
      </c>
      <c r="J27" s="16">
        <f>F27-H27</f>
        <v/>
      </c>
      <c r="K27" s="14">
        <f>MAX(0,J27)</f>
        <v/>
      </c>
      <c r="L27" s="14">
        <f>MAX(0,-J27)</f>
        <v/>
      </c>
      <c r="M27" s="14">
        <f>L27</f>
        <v/>
      </c>
      <c r="N27" s="12">
        <f>IF(C27="","",IF(H27=0,"SEM CARGA",IF(OR(F27=0,I27&gt;=PARAMETROS!$C$7),"INSUFICIENTE",IF(I27&gt;=PARAMETROS!$C$6,"ATENÇÃO","OK"))))</f>
        <v/>
      </c>
      <c r="O27" s="15">
        <f>IF(PARAMETROS!$C$8="Nominal",IF(E27&gt;0,H27/E27,0),I27)</f>
        <v/>
      </c>
      <c r="P27" s="29">
        <f>IF(PARAMETROS!$F$11*PARAMETROS!$F$23*PARAMETROS!$F$24*PARAMETROS!$C$4&gt;0,H27/(PARAMETROS!$F$11*PARAMETROS!$F$23*PARAMETROS!$F$24*PARAMETROS!$C$4),0)</f>
        <v/>
      </c>
      <c r="Q27" s="14">
        <f>IF(C27="",0,PARAMETROS!$F$25/60*SUMPRODUCT((BASE!$F$6:$F$205=C27)*BASE!$L$6:$L$205*BASE!$O$6:$O$205))</f>
        <v/>
      </c>
      <c r="R27" s="15">
        <f>IF(F27+G27&gt;0,H27/(F27+G27),0)</f>
        <v/>
      </c>
    </row>
    <row r="28">
      <c r="A28" s="11" t="n">
        <v>4</v>
      </c>
      <c r="B28" s="11" t="n">
        <v>5</v>
      </c>
      <c r="C28" s="11">
        <f>IF(PARAMETROS!B36="","",PARAMETROS!B36)</f>
        <v/>
      </c>
      <c r="D28" s="11">
        <f>PARAMETROS!$F$18+PARAMETROS!$F$19+PARAMETROS!$F$20</f>
        <v/>
      </c>
      <c r="E28" s="14">
        <f>PARAMETROS!$C$4*(PARAMETROS!$F$18*PARAMETROS!$F$11+PARAMETROS!$F$19*PARAMETROS!$F$12+PARAMETROS!$F$20*PARAMETROS!$F$13)</f>
        <v/>
      </c>
      <c r="F28" s="14">
        <f>E28*PARAMETROS!$F$23*PARAMETROS!$F$24</f>
        <v/>
      </c>
      <c r="G28" s="14">
        <f>PARAMETROS!$F$22*PARAMETROS!$F$21*D28*PARAMETROS!$F$23*PARAMETROS!$F$24</f>
        <v/>
      </c>
      <c r="H28" s="14">
        <f>IF(C28="",0,PARAMETROS!$F$25/60*(IF(PARAMETROS!$F$27="Real",SUMPRODUCT((BASE!$F$6:$F$205=C28)*BASE!$L$6:$L$205*BASE!$N$6:$N$205),SUMPRODUCT((BASE!$F$6:$F$205=C28)*BASE!$L$6:$L$205*BASE!$H$6:$H$205))*PARAMETROS!$F$26+SUMPRODUCT((BASE!$F$6:$F$205=C28)*BASE!$L$6:$L$205*BASE!$O$6:$O$205)))</f>
        <v/>
      </c>
      <c r="I28" s="15">
        <f>IF(F28&gt;0,H28/F28,0)</f>
        <v/>
      </c>
      <c r="J28" s="16">
        <f>F28-H28</f>
        <v/>
      </c>
      <c r="K28" s="14">
        <f>MAX(0,J28)</f>
        <v/>
      </c>
      <c r="L28" s="14">
        <f>MAX(0,-J28)</f>
        <v/>
      </c>
      <c r="M28" s="14">
        <f>L28</f>
        <v/>
      </c>
      <c r="N28" s="12">
        <f>IF(C28="","",IF(H28=0,"SEM CARGA",IF(OR(F28=0,I28&gt;=PARAMETROS!$C$7),"INSUFICIENTE",IF(I28&gt;=PARAMETROS!$C$6,"ATENÇÃO","OK"))))</f>
        <v/>
      </c>
      <c r="O28" s="15">
        <f>IF(PARAMETROS!$C$8="Nominal",IF(E28&gt;0,H28/E28,0),I28)</f>
        <v/>
      </c>
      <c r="P28" s="29">
        <f>IF(PARAMETROS!$F$11*PARAMETROS!$F$23*PARAMETROS!$F$24*PARAMETROS!$C$4&gt;0,H28/(PARAMETROS!$F$11*PARAMETROS!$F$23*PARAMETROS!$F$24*PARAMETROS!$C$4),0)</f>
        <v/>
      </c>
      <c r="Q28" s="14">
        <f>IF(C28="",0,PARAMETROS!$F$25/60*SUMPRODUCT((BASE!$F$6:$F$205=C28)*BASE!$L$6:$L$205*BASE!$O$6:$O$205))</f>
        <v/>
      </c>
      <c r="R28" s="15">
        <f>IF(F28+G28&gt;0,H28/(F28+G28),0)</f>
        <v/>
      </c>
    </row>
    <row r="29">
      <c r="A29" s="11" t="n">
        <v>4</v>
      </c>
      <c r="B29" s="11" t="n">
        <v>6</v>
      </c>
      <c r="C29" s="11">
        <f>IF(PARAMETROS!B37="","",PARAMETROS!B37)</f>
        <v/>
      </c>
      <c r="D29" s="11">
        <f>PARAMETROS!$F$18+PARAMETROS!$F$19+PARAMETROS!$F$20</f>
        <v/>
      </c>
      <c r="E29" s="14">
        <f>PARAMETROS!$C$4*(PARAMETROS!$F$18*PARAMETROS!$F$11+PARAMETROS!$F$19*PARAMETROS!$F$12+PARAMETROS!$F$20*PARAMETROS!$F$13)</f>
        <v/>
      </c>
      <c r="F29" s="14">
        <f>E29*PARAMETROS!$F$23*PARAMETROS!$F$24</f>
        <v/>
      </c>
      <c r="G29" s="14">
        <f>PARAMETROS!$F$22*PARAMETROS!$F$21*D29*PARAMETROS!$F$23*PARAMETROS!$F$24</f>
        <v/>
      </c>
      <c r="H29" s="14">
        <f>IF(C29="",0,PARAMETROS!$F$25/60*(IF(PARAMETROS!$F$27="Real",SUMPRODUCT((BASE!$F$6:$F$205=C29)*BASE!$L$6:$L$205*BASE!$N$6:$N$205),SUMPRODUCT((BASE!$F$6:$F$205=C29)*BASE!$L$6:$L$205*BASE!$H$6:$H$205))*PARAMETROS!$F$26+SUMPRODUCT((BASE!$F$6:$F$205=C29)*BASE!$L$6:$L$205*BASE!$O$6:$O$205)))</f>
        <v/>
      </c>
      <c r="I29" s="15">
        <f>IF(F29&gt;0,H29/F29,0)</f>
        <v/>
      </c>
      <c r="J29" s="16">
        <f>F29-H29</f>
        <v/>
      </c>
      <c r="K29" s="14">
        <f>MAX(0,J29)</f>
        <v/>
      </c>
      <c r="L29" s="14">
        <f>MAX(0,-J29)</f>
        <v/>
      </c>
      <c r="M29" s="14">
        <f>L29</f>
        <v/>
      </c>
      <c r="N29" s="12">
        <f>IF(C29="","",IF(H29=0,"SEM CARGA",IF(OR(F29=0,I29&gt;=PARAMETROS!$C$7),"INSUFICIENTE",IF(I29&gt;=PARAMETROS!$C$6,"ATENÇÃO","OK"))))</f>
        <v/>
      </c>
      <c r="O29" s="15">
        <f>IF(PARAMETROS!$C$8="Nominal",IF(E29&gt;0,H29/E29,0),I29)</f>
        <v/>
      </c>
      <c r="P29" s="29">
        <f>IF(PARAMETROS!$F$11*PARAMETROS!$F$23*PARAMETROS!$F$24*PARAMETROS!$C$4&gt;0,H29/(PARAMETROS!$F$11*PARAMETROS!$F$23*PARAMETROS!$F$24*PARAMETROS!$C$4),0)</f>
        <v/>
      </c>
      <c r="Q29" s="14">
        <f>IF(C29="",0,PARAMETROS!$F$25/60*SUMPRODUCT((BASE!$F$6:$F$205=C29)*BASE!$L$6:$L$205*BASE!$O$6:$O$205))</f>
        <v/>
      </c>
      <c r="R29" s="15">
        <f>IF(F29+G29&gt;0,H29/(F29+G29),0)</f>
        <v/>
      </c>
    </row>
    <row r="33">
      <c r="A33" s="10" t="inlineStr">
        <is>
          <t>CAPACIDADE EM 1, 2 E 3 TURNOS — cenário em análise (Dashboard)</t>
        </is>
      </c>
    </row>
    <row r="34" ht="32" customHeight="1">
      <c r="A34" s="5" t="inlineStr"/>
      <c r="B34" s="5" t="inlineStr"/>
      <c r="C34" s="5" t="inlineStr">
        <is>
          <t>Máquina</t>
        </is>
      </c>
      <c r="D34" s="5" t="inlineStr">
        <is>
          <t>Carga (h)</t>
        </is>
      </c>
      <c r="E34" s="5" t="inlineStr">
        <is>
          <t>Util. 1 turno</t>
        </is>
      </c>
      <c r="F34" s="5" t="inlineStr">
        <is>
          <t>Util. 2 turnos</t>
        </is>
      </c>
      <c r="G34" s="5" t="inlineStr">
        <is>
          <t>Util. 3 turnos</t>
        </is>
      </c>
      <c r="H34" s="5" t="inlineStr">
        <is>
          <t>Menor nº de turnos que atende</t>
        </is>
      </c>
    </row>
    <row r="35">
      <c r="C35" s="11">
        <f>IF(PARAMETROS!B32="","",PARAMETROS!B32)</f>
        <v/>
      </c>
      <c r="D35" s="14">
        <f>INDEX($H$6:$H$29,(PARAMETROS!$C$9-1)*6+1)</f>
        <v/>
      </c>
      <c r="E35" s="15">
        <f>IF((PARAMETROS!$F$11)*INDEX(PARAMETROS!$C$23:$F$23,PARAMETROS!$C$9)*INDEX(PARAMETROS!$C$24:$F$24,PARAMETROS!$C$9)*PARAMETROS!$C$4&gt;0,D35/((PARAMETROS!$F$11)*INDEX(PARAMETROS!$C$23:$F$23,PARAMETROS!$C$9)*INDEX(PARAMETROS!$C$24:$F$24,PARAMETROS!$C$9)*PARAMETROS!$C$4),0)</f>
        <v/>
      </c>
      <c r="F35" s="15">
        <f>IF((PARAMETROS!$F$11+PARAMETROS!$F$12)*INDEX(PARAMETROS!$C$23:$F$23,PARAMETROS!$C$9)*INDEX(PARAMETROS!$C$24:$F$24,PARAMETROS!$C$9)*PARAMETROS!$C$4&gt;0,D35/((PARAMETROS!$F$11+PARAMETROS!$F$12)*INDEX(PARAMETROS!$C$23:$F$23,PARAMETROS!$C$9)*INDEX(PARAMETROS!$C$24:$F$24,PARAMETROS!$C$9)*PARAMETROS!$C$4),0)</f>
        <v/>
      </c>
      <c r="G35" s="15">
        <f>IF((PARAMETROS!$F$11+PARAMETROS!$F$12+PARAMETROS!$F$13)*INDEX(PARAMETROS!$C$23:$F$23,PARAMETROS!$C$9)*INDEX(PARAMETROS!$C$24:$F$24,PARAMETROS!$C$9)*PARAMETROS!$C$4&gt;0,D35/((PARAMETROS!$F$11+PARAMETROS!$F$12+PARAMETROS!$F$13)*INDEX(PARAMETROS!$C$23:$F$23,PARAMETROS!$C$9)*INDEX(PARAMETROS!$C$24:$F$24,PARAMETROS!$C$9)*PARAMETROS!$C$4),0)</f>
        <v/>
      </c>
      <c r="H35" s="12">
        <f>IF(C35="","",IF(D35=0,"SEM CARGA",IF(E35&lt;PARAMETROS!$C$7,1,IF(F35&lt;PARAMETROS!$C$7,2,IF(G35&lt;PARAMETROS!$C$7,3,"Não atende")))))</f>
        <v/>
      </c>
    </row>
    <row r="36">
      <c r="C36" s="11">
        <f>IF(PARAMETROS!B33="","",PARAMETROS!B33)</f>
        <v/>
      </c>
      <c r="D36" s="14">
        <f>INDEX($H$6:$H$29,(PARAMETROS!$C$9-1)*6+2)</f>
        <v/>
      </c>
      <c r="E36" s="15">
        <f>IF((PARAMETROS!$F$11)*INDEX(PARAMETROS!$C$23:$F$23,PARAMETROS!$C$9)*INDEX(PARAMETROS!$C$24:$F$24,PARAMETROS!$C$9)*PARAMETROS!$C$4&gt;0,D36/((PARAMETROS!$F$11)*INDEX(PARAMETROS!$C$23:$F$23,PARAMETROS!$C$9)*INDEX(PARAMETROS!$C$24:$F$24,PARAMETROS!$C$9)*PARAMETROS!$C$4),0)</f>
        <v/>
      </c>
      <c r="F36" s="15">
        <f>IF((PARAMETROS!$F$11+PARAMETROS!$F$12)*INDEX(PARAMETROS!$C$23:$F$23,PARAMETROS!$C$9)*INDEX(PARAMETROS!$C$24:$F$24,PARAMETROS!$C$9)*PARAMETROS!$C$4&gt;0,D36/((PARAMETROS!$F$11+PARAMETROS!$F$12)*INDEX(PARAMETROS!$C$23:$F$23,PARAMETROS!$C$9)*INDEX(PARAMETROS!$C$24:$F$24,PARAMETROS!$C$9)*PARAMETROS!$C$4),0)</f>
        <v/>
      </c>
      <c r="G36" s="15">
        <f>IF((PARAMETROS!$F$11+PARAMETROS!$F$12+PARAMETROS!$F$13)*INDEX(PARAMETROS!$C$23:$F$23,PARAMETROS!$C$9)*INDEX(PARAMETROS!$C$24:$F$24,PARAMETROS!$C$9)*PARAMETROS!$C$4&gt;0,D36/((PARAMETROS!$F$11+PARAMETROS!$F$12+PARAMETROS!$F$13)*INDEX(PARAMETROS!$C$23:$F$23,PARAMETROS!$C$9)*INDEX(PARAMETROS!$C$24:$F$24,PARAMETROS!$C$9)*PARAMETROS!$C$4),0)</f>
        <v/>
      </c>
      <c r="H36" s="12">
        <f>IF(C36="","",IF(D36=0,"SEM CARGA",IF(E36&lt;PARAMETROS!$C$7,1,IF(F36&lt;PARAMETROS!$C$7,2,IF(G36&lt;PARAMETROS!$C$7,3,"Não atende")))))</f>
        <v/>
      </c>
    </row>
    <row r="37">
      <c r="C37" s="11">
        <f>IF(PARAMETROS!B34="","",PARAMETROS!B34)</f>
        <v/>
      </c>
      <c r="D37" s="14">
        <f>INDEX($H$6:$H$29,(PARAMETROS!$C$9-1)*6+3)</f>
        <v/>
      </c>
      <c r="E37" s="15">
        <f>IF((PARAMETROS!$F$11)*INDEX(PARAMETROS!$C$23:$F$23,PARAMETROS!$C$9)*INDEX(PARAMETROS!$C$24:$F$24,PARAMETROS!$C$9)*PARAMETROS!$C$4&gt;0,D37/((PARAMETROS!$F$11)*INDEX(PARAMETROS!$C$23:$F$23,PARAMETROS!$C$9)*INDEX(PARAMETROS!$C$24:$F$24,PARAMETROS!$C$9)*PARAMETROS!$C$4),0)</f>
        <v/>
      </c>
      <c r="F37" s="15">
        <f>IF((PARAMETROS!$F$11+PARAMETROS!$F$12)*INDEX(PARAMETROS!$C$23:$F$23,PARAMETROS!$C$9)*INDEX(PARAMETROS!$C$24:$F$24,PARAMETROS!$C$9)*PARAMETROS!$C$4&gt;0,D37/((PARAMETROS!$F$11+PARAMETROS!$F$12)*INDEX(PARAMETROS!$C$23:$F$23,PARAMETROS!$C$9)*INDEX(PARAMETROS!$C$24:$F$24,PARAMETROS!$C$9)*PARAMETROS!$C$4),0)</f>
        <v/>
      </c>
      <c r="G37" s="15">
        <f>IF((PARAMETROS!$F$11+PARAMETROS!$F$12+PARAMETROS!$F$13)*INDEX(PARAMETROS!$C$23:$F$23,PARAMETROS!$C$9)*INDEX(PARAMETROS!$C$24:$F$24,PARAMETROS!$C$9)*PARAMETROS!$C$4&gt;0,D37/((PARAMETROS!$F$11+PARAMETROS!$F$12+PARAMETROS!$F$13)*INDEX(PARAMETROS!$C$23:$F$23,PARAMETROS!$C$9)*INDEX(PARAMETROS!$C$24:$F$24,PARAMETROS!$C$9)*PARAMETROS!$C$4),0)</f>
        <v/>
      </c>
      <c r="H37" s="12">
        <f>IF(C37="","",IF(D37=0,"SEM CARGA",IF(E37&lt;PARAMETROS!$C$7,1,IF(F37&lt;PARAMETROS!$C$7,2,IF(G37&lt;PARAMETROS!$C$7,3,"Não atende")))))</f>
        <v/>
      </c>
    </row>
    <row r="38">
      <c r="C38" s="11">
        <f>IF(PARAMETROS!B35="","",PARAMETROS!B35)</f>
        <v/>
      </c>
      <c r="D38" s="14">
        <f>INDEX($H$6:$H$29,(PARAMETROS!$C$9-1)*6+4)</f>
        <v/>
      </c>
      <c r="E38" s="15">
        <f>IF((PARAMETROS!$F$11)*INDEX(PARAMETROS!$C$23:$F$23,PARAMETROS!$C$9)*INDEX(PARAMETROS!$C$24:$F$24,PARAMETROS!$C$9)*PARAMETROS!$C$4&gt;0,D38/((PARAMETROS!$F$11)*INDEX(PARAMETROS!$C$23:$F$23,PARAMETROS!$C$9)*INDEX(PARAMETROS!$C$24:$F$24,PARAMETROS!$C$9)*PARAMETROS!$C$4),0)</f>
        <v/>
      </c>
      <c r="F38" s="15">
        <f>IF((PARAMETROS!$F$11+PARAMETROS!$F$12)*INDEX(PARAMETROS!$C$23:$F$23,PARAMETROS!$C$9)*INDEX(PARAMETROS!$C$24:$F$24,PARAMETROS!$C$9)*PARAMETROS!$C$4&gt;0,D38/((PARAMETROS!$F$11+PARAMETROS!$F$12)*INDEX(PARAMETROS!$C$23:$F$23,PARAMETROS!$C$9)*INDEX(PARAMETROS!$C$24:$F$24,PARAMETROS!$C$9)*PARAMETROS!$C$4),0)</f>
        <v/>
      </c>
      <c r="G38" s="15">
        <f>IF((PARAMETROS!$F$11+PARAMETROS!$F$12+PARAMETROS!$F$13)*INDEX(PARAMETROS!$C$23:$F$23,PARAMETROS!$C$9)*INDEX(PARAMETROS!$C$24:$F$24,PARAMETROS!$C$9)*PARAMETROS!$C$4&gt;0,D38/((PARAMETROS!$F$11+PARAMETROS!$F$12+PARAMETROS!$F$13)*INDEX(PARAMETROS!$C$23:$F$23,PARAMETROS!$C$9)*INDEX(PARAMETROS!$C$24:$F$24,PARAMETROS!$C$9)*PARAMETROS!$C$4),0)</f>
        <v/>
      </c>
      <c r="H38" s="12">
        <f>IF(C38="","",IF(D38=0,"SEM CARGA",IF(E38&lt;PARAMETROS!$C$7,1,IF(F38&lt;PARAMETROS!$C$7,2,IF(G38&lt;PARAMETROS!$C$7,3,"Não atende")))))</f>
        <v/>
      </c>
    </row>
    <row r="39">
      <c r="C39" s="11">
        <f>IF(PARAMETROS!B36="","",PARAMETROS!B36)</f>
        <v/>
      </c>
      <c r="D39" s="14">
        <f>INDEX($H$6:$H$29,(PARAMETROS!$C$9-1)*6+5)</f>
        <v/>
      </c>
      <c r="E39" s="15">
        <f>IF((PARAMETROS!$F$11)*INDEX(PARAMETROS!$C$23:$F$23,PARAMETROS!$C$9)*INDEX(PARAMETROS!$C$24:$F$24,PARAMETROS!$C$9)*PARAMETROS!$C$4&gt;0,D39/((PARAMETROS!$F$11)*INDEX(PARAMETROS!$C$23:$F$23,PARAMETROS!$C$9)*INDEX(PARAMETROS!$C$24:$F$24,PARAMETROS!$C$9)*PARAMETROS!$C$4),0)</f>
        <v/>
      </c>
      <c r="F39" s="15">
        <f>IF((PARAMETROS!$F$11+PARAMETROS!$F$12)*INDEX(PARAMETROS!$C$23:$F$23,PARAMETROS!$C$9)*INDEX(PARAMETROS!$C$24:$F$24,PARAMETROS!$C$9)*PARAMETROS!$C$4&gt;0,D39/((PARAMETROS!$F$11+PARAMETROS!$F$12)*INDEX(PARAMETROS!$C$23:$F$23,PARAMETROS!$C$9)*INDEX(PARAMETROS!$C$24:$F$24,PARAMETROS!$C$9)*PARAMETROS!$C$4),0)</f>
        <v/>
      </c>
      <c r="G39" s="15">
        <f>IF((PARAMETROS!$F$11+PARAMETROS!$F$12+PARAMETROS!$F$13)*INDEX(PARAMETROS!$C$23:$F$23,PARAMETROS!$C$9)*INDEX(PARAMETROS!$C$24:$F$24,PARAMETROS!$C$9)*PARAMETROS!$C$4&gt;0,D39/((PARAMETROS!$F$11+PARAMETROS!$F$12+PARAMETROS!$F$13)*INDEX(PARAMETROS!$C$23:$F$23,PARAMETROS!$C$9)*INDEX(PARAMETROS!$C$24:$F$24,PARAMETROS!$C$9)*PARAMETROS!$C$4),0)</f>
        <v/>
      </c>
      <c r="H39" s="12">
        <f>IF(C39="","",IF(D39=0,"SEM CARGA",IF(E39&lt;PARAMETROS!$C$7,1,IF(F39&lt;PARAMETROS!$C$7,2,IF(G39&lt;PARAMETROS!$C$7,3,"Não atende")))))</f>
        <v/>
      </c>
    </row>
    <row r="40">
      <c r="C40" s="11">
        <f>IF(PARAMETROS!B37="","",PARAMETROS!B37)</f>
        <v/>
      </c>
      <c r="D40" s="14">
        <f>INDEX($H$6:$H$29,(PARAMETROS!$C$9-1)*6+6)</f>
        <v/>
      </c>
      <c r="E40" s="15">
        <f>IF((PARAMETROS!$F$11)*INDEX(PARAMETROS!$C$23:$F$23,PARAMETROS!$C$9)*INDEX(PARAMETROS!$C$24:$F$24,PARAMETROS!$C$9)*PARAMETROS!$C$4&gt;0,D40/((PARAMETROS!$F$11)*INDEX(PARAMETROS!$C$23:$F$23,PARAMETROS!$C$9)*INDEX(PARAMETROS!$C$24:$F$24,PARAMETROS!$C$9)*PARAMETROS!$C$4),0)</f>
        <v/>
      </c>
      <c r="F40" s="15">
        <f>IF((PARAMETROS!$F$11+PARAMETROS!$F$12)*INDEX(PARAMETROS!$C$23:$F$23,PARAMETROS!$C$9)*INDEX(PARAMETROS!$C$24:$F$24,PARAMETROS!$C$9)*PARAMETROS!$C$4&gt;0,D40/((PARAMETROS!$F$11+PARAMETROS!$F$12)*INDEX(PARAMETROS!$C$23:$F$23,PARAMETROS!$C$9)*INDEX(PARAMETROS!$C$24:$F$24,PARAMETROS!$C$9)*PARAMETROS!$C$4),0)</f>
        <v/>
      </c>
      <c r="G40" s="15">
        <f>IF((PARAMETROS!$F$11+PARAMETROS!$F$12+PARAMETROS!$F$13)*INDEX(PARAMETROS!$C$23:$F$23,PARAMETROS!$C$9)*INDEX(PARAMETROS!$C$24:$F$24,PARAMETROS!$C$9)*PARAMETROS!$C$4&gt;0,D40/((PARAMETROS!$F$11+PARAMETROS!$F$12+PARAMETROS!$F$13)*INDEX(PARAMETROS!$C$23:$F$23,PARAMETROS!$C$9)*INDEX(PARAMETROS!$C$24:$F$24,PARAMETROS!$C$9)*PARAMETROS!$C$4),0)</f>
        <v/>
      </c>
      <c r="H40" s="12">
        <f>IF(C40="","",IF(D40=0,"SEM CARGA",IF(E40&lt;PARAMETROS!$C$7,1,IF(F40&lt;PARAMETROS!$C$7,2,IF(G40&lt;PARAMETROS!$C$7,3,"Não atende")))))</f>
        <v/>
      </c>
    </row>
  </sheetData>
  <conditionalFormatting sqref="I6:I29">
    <cfRule type="expression" priority="1" dxfId="0">
      <formula>AND(I6&gt;=PARAMETROS!$C$7,I6&lt;&gt;0)</formula>
    </cfRule>
    <cfRule type="expression" priority="2" dxfId="1">
      <formula>AND(I6&gt;=PARAMETROS!$C$6,I6&lt;PARAMETROS!$C$7)</formula>
    </cfRule>
    <cfRule type="expression" priority="3" dxfId="2">
      <formula>AND(I6&gt;0,I6&lt;PARAMETROS!$C$6)</formula>
    </cfRule>
  </conditionalFormatting>
  <conditionalFormatting sqref="N6:N29">
    <cfRule type="expression" priority="4" dxfId="0">
      <formula>N6="INSUFICIENTE"</formula>
    </cfRule>
    <cfRule type="expression" priority="5" dxfId="1">
      <formula>N6="ATENÇÃO"</formula>
    </cfRule>
    <cfRule type="expression" priority="6" dxfId="2">
      <formula>N6="OK"</formula>
    </cfRule>
  </conditionalFormatting>
  <conditionalFormatting sqref="E35:G40">
    <cfRule type="expression" priority="7" dxfId="0">
      <formula>AND(E35&gt;=PARAMETROS!$C$7,E35&lt;&gt;0)</formula>
    </cfRule>
    <cfRule type="expression" priority="8" dxfId="1">
      <formula>AND(E35&gt;=PARAMETROS!$C$6,E35&lt;PARAMETROS!$C$7)</formula>
    </cfRule>
    <cfRule type="expression" priority="9" dxfId="2">
      <formula>AND(E35&gt;0,E35&lt;PARAMETROS!$C$6)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R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>
      <c r="A1" s="1" t="inlineStr">
        <is>
          <t>MÃO DE OBRA E TURNOS</t>
        </is>
      </c>
    </row>
    <row r="2">
      <c r="A2" s="4" t="inlineStr">
        <is>
          <t>Funcionários por célula e turno em cada cenário. Cenário 'Simulação' = Atual + variação definida no SIMULADOR.</t>
        </is>
      </c>
    </row>
    <row r="4" ht="32" customHeight="1">
      <c r="A4" s="5" t="inlineStr"/>
      <c r="B4" s="5" t="inlineStr"/>
      <c r="C4" s="5" t="inlineStr">
        <is>
          <t>ATUAL</t>
        </is>
      </c>
      <c r="D4" s="5" t="inlineStr"/>
      <c r="E4" s="5" t="inlineStr"/>
      <c r="F4" s="5" t="inlineStr">
        <is>
          <t>AJUSTADO</t>
        </is>
      </c>
      <c r="G4" s="5" t="inlineStr"/>
      <c r="H4" s="5" t="inlineStr"/>
      <c r="I4" s="5" t="inlineStr">
        <is>
          <t>OTIMIZADO</t>
        </is>
      </c>
      <c r="J4" s="5" t="inlineStr"/>
      <c r="K4" s="5" t="inlineStr"/>
      <c r="L4" s="5" t="inlineStr">
        <is>
          <t>SIMULAÇÃO</t>
        </is>
      </c>
      <c r="M4" s="5" t="inlineStr"/>
      <c r="N4" s="5" t="inlineStr"/>
      <c r="O4" s="5" t="inlineStr">
        <is>
          <t>TOTAL ATIVO (turnos ativos)</t>
        </is>
      </c>
      <c r="P4" s="5" t="inlineStr"/>
      <c r="Q4" s="5" t="inlineStr"/>
      <c r="R4" s="5" t="inlineStr"/>
    </row>
    <row r="5" ht="32" customHeight="1">
      <c r="A5" s="5" t="inlineStr">
        <is>
          <t>Célula</t>
        </is>
      </c>
      <c r="B5" s="5" t="inlineStr">
        <is>
          <t>Família</t>
        </is>
      </c>
      <c r="C5" s="5" t="inlineStr">
        <is>
          <t>A</t>
        </is>
      </c>
      <c r="D5" s="5" t="inlineStr">
        <is>
          <t>B</t>
        </is>
      </c>
      <c r="E5" s="5" t="inlineStr">
        <is>
          <t>C</t>
        </is>
      </c>
      <c r="F5" s="5" t="inlineStr">
        <is>
          <t>A</t>
        </is>
      </c>
      <c r="G5" s="5" t="inlineStr">
        <is>
          <t>B</t>
        </is>
      </c>
      <c r="H5" s="5" t="inlineStr">
        <is>
          <t>C</t>
        </is>
      </c>
      <c r="I5" s="5" t="inlineStr">
        <is>
          <t>A</t>
        </is>
      </c>
      <c r="J5" s="5" t="inlineStr">
        <is>
          <t>B</t>
        </is>
      </c>
      <c r="K5" s="5" t="inlineStr">
        <is>
          <t>C</t>
        </is>
      </c>
      <c r="L5" s="5" t="inlineStr">
        <is>
          <t>A</t>
        </is>
      </c>
      <c r="M5" s="5" t="inlineStr">
        <is>
          <t>B</t>
        </is>
      </c>
      <c r="N5" s="5" t="inlineStr">
        <is>
          <t>C</t>
        </is>
      </c>
      <c r="O5" s="5" t="inlineStr">
        <is>
          <t>Atual</t>
        </is>
      </c>
      <c r="P5" s="5" t="inlineStr">
        <is>
          <t>Ajustado</t>
        </is>
      </c>
      <c r="Q5" s="5" t="inlineStr">
        <is>
          <t>Otimizado</t>
        </is>
      </c>
      <c r="R5" s="5" t="inlineStr">
        <is>
          <t>Simulação</t>
        </is>
      </c>
    </row>
    <row r="6">
      <c r="A6" s="3" t="n"/>
      <c r="B6" s="3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17">
        <f>IF(A6=SIMULADOR!$C$5,MAX(0,C6+SIMULADOR!$C$6),C6)</f>
        <v/>
      </c>
      <c r="M6" s="17">
        <f>IF(A6=SIMULADOR!$C$5,MAX(0,D6+SIMULADOR!$C$6),D6)</f>
        <v/>
      </c>
      <c r="N6" s="17">
        <f>IF(A6=SIMULADOR!$C$5,MAX(0,E6+SIMULADOR!$C$6),E6)</f>
        <v/>
      </c>
      <c r="O6" s="30">
        <f>C6*PARAMETROS!$C$18+D6*PARAMETROS!$C$19+E6*PARAMETROS!$C$20</f>
        <v/>
      </c>
      <c r="P6" s="30">
        <f>F6*PARAMETROS!$D$18+G6*PARAMETROS!$D$19+H6*PARAMETROS!$D$20</f>
        <v/>
      </c>
      <c r="Q6" s="30">
        <f>I6*PARAMETROS!$E$18+J6*PARAMETROS!$E$19+K6*PARAMETROS!$E$20</f>
        <v/>
      </c>
      <c r="R6" s="30">
        <f>L6*PARAMETROS!$F$18+M6*PARAMETROS!$F$19+N6*PARAMETROS!$F$20</f>
        <v/>
      </c>
    </row>
    <row r="7">
      <c r="A7" s="3" t="n"/>
      <c r="B7" s="3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17">
        <f>IF(A7=SIMULADOR!$C$5,MAX(0,C7+SIMULADOR!$C$6),C7)</f>
        <v/>
      </c>
      <c r="M7" s="17">
        <f>IF(A7=SIMULADOR!$C$5,MAX(0,D7+SIMULADOR!$C$6),D7)</f>
        <v/>
      </c>
      <c r="N7" s="17">
        <f>IF(A7=SIMULADOR!$C$5,MAX(0,E7+SIMULADOR!$C$6),E7)</f>
        <v/>
      </c>
      <c r="O7" s="30">
        <f>C7*PARAMETROS!$C$18+D7*PARAMETROS!$C$19+E7*PARAMETROS!$C$20</f>
        <v/>
      </c>
      <c r="P7" s="30">
        <f>F7*PARAMETROS!$D$18+G7*PARAMETROS!$D$19+H7*PARAMETROS!$D$20</f>
        <v/>
      </c>
      <c r="Q7" s="30">
        <f>I7*PARAMETROS!$E$18+J7*PARAMETROS!$E$19+K7*PARAMETROS!$E$20</f>
        <v/>
      </c>
      <c r="R7" s="30">
        <f>L7*PARAMETROS!$F$18+M7*PARAMETROS!$F$19+N7*PARAMETROS!$F$20</f>
        <v/>
      </c>
    </row>
    <row r="8">
      <c r="A8" s="3" t="n"/>
      <c r="B8" s="3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17">
        <f>IF(A8=SIMULADOR!$C$5,MAX(0,C8+SIMULADOR!$C$6),C8)</f>
        <v/>
      </c>
      <c r="M8" s="17">
        <f>IF(A8=SIMULADOR!$C$5,MAX(0,D8+SIMULADOR!$C$6),D8)</f>
        <v/>
      </c>
      <c r="N8" s="17">
        <f>IF(A8=SIMULADOR!$C$5,MAX(0,E8+SIMULADOR!$C$6),E8)</f>
        <v/>
      </c>
      <c r="O8" s="30">
        <f>C8*PARAMETROS!$C$18+D8*PARAMETROS!$C$19+E8*PARAMETROS!$C$20</f>
        <v/>
      </c>
      <c r="P8" s="30">
        <f>F8*PARAMETROS!$D$18+G8*PARAMETROS!$D$19+H8*PARAMETROS!$D$20</f>
        <v/>
      </c>
      <c r="Q8" s="30">
        <f>I8*PARAMETROS!$E$18+J8*PARAMETROS!$E$19+K8*PARAMETROS!$E$20</f>
        <v/>
      </c>
      <c r="R8" s="30">
        <f>L8*PARAMETROS!$F$18+M8*PARAMETROS!$F$19+N8*PARAMETROS!$F$20</f>
        <v/>
      </c>
    </row>
    <row r="9">
      <c r="A9" s="3" t="n"/>
      <c r="B9" s="3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17">
        <f>IF(A9=SIMULADOR!$C$5,MAX(0,C9+SIMULADOR!$C$6),C9)</f>
        <v/>
      </c>
      <c r="M9" s="17">
        <f>IF(A9=SIMULADOR!$C$5,MAX(0,D9+SIMULADOR!$C$6),D9)</f>
        <v/>
      </c>
      <c r="N9" s="17">
        <f>IF(A9=SIMULADOR!$C$5,MAX(0,E9+SIMULADOR!$C$6),E9)</f>
        <v/>
      </c>
      <c r="O9" s="30">
        <f>C9*PARAMETROS!$C$18+D9*PARAMETROS!$C$19+E9*PARAMETROS!$C$20</f>
        <v/>
      </c>
      <c r="P9" s="30">
        <f>F9*PARAMETROS!$D$18+G9*PARAMETROS!$D$19+H9*PARAMETROS!$D$20</f>
        <v/>
      </c>
      <c r="Q9" s="30">
        <f>I9*PARAMETROS!$E$18+J9*PARAMETROS!$E$19+K9*PARAMETROS!$E$20</f>
        <v/>
      </c>
      <c r="R9" s="30">
        <f>L9*PARAMETROS!$F$18+M9*PARAMETROS!$F$19+N9*PARAMETROS!$F$20</f>
        <v/>
      </c>
    </row>
    <row r="10">
      <c r="A10" s="3" t="n"/>
      <c r="B10" s="3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17">
        <f>IF(A10=SIMULADOR!$C$5,MAX(0,C10+SIMULADOR!$C$6),C10)</f>
        <v/>
      </c>
      <c r="M10" s="17">
        <f>IF(A10=SIMULADOR!$C$5,MAX(0,D10+SIMULADOR!$C$6),D10)</f>
        <v/>
      </c>
      <c r="N10" s="17">
        <f>IF(A10=SIMULADOR!$C$5,MAX(0,E10+SIMULADOR!$C$6),E10)</f>
        <v/>
      </c>
      <c r="O10" s="30">
        <f>C10*PARAMETROS!$C$18+D10*PARAMETROS!$C$19+E10*PARAMETROS!$C$20</f>
        <v/>
      </c>
      <c r="P10" s="30">
        <f>F10*PARAMETROS!$D$18+G10*PARAMETROS!$D$19+H10*PARAMETROS!$D$20</f>
        <v/>
      </c>
      <c r="Q10" s="30">
        <f>I10*PARAMETROS!$E$18+J10*PARAMETROS!$E$19+K10*PARAMETROS!$E$20</f>
        <v/>
      </c>
      <c r="R10" s="30">
        <f>L10*PARAMETROS!$F$18+M10*PARAMETROS!$F$19+N10*PARAMETROS!$F$20</f>
        <v/>
      </c>
    </row>
    <row r="11">
      <c r="A11" s="3" t="n"/>
      <c r="B11" s="3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17">
        <f>IF(A11=SIMULADOR!$C$5,MAX(0,C11+SIMULADOR!$C$6),C11)</f>
        <v/>
      </c>
      <c r="M11" s="17">
        <f>IF(A11=SIMULADOR!$C$5,MAX(0,D11+SIMULADOR!$C$6),D11)</f>
        <v/>
      </c>
      <c r="N11" s="17">
        <f>IF(A11=SIMULADOR!$C$5,MAX(0,E11+SIMULADOR!$C$6),E11)</f>
        <v/>
      </c>
      <c r="O11" s="30">
        <f>C11*PARAMETROS!$C$18+D11*PARAMETROS!$C$19+E11*PARAMETROS!$C$20</f>
        <v/>
      </c>
      <c r="P11" s="30">
        <f>F11*PARAMETROS!$D$18+G11*PARAMETROS!$D$19+H11*PARAMETROS!$D$20</f>
        <v/>
      </c>
      <c r="Q11" s="30">
        <f>I11*PARAMETROS!$E$18+J11*PARAMETROS!$E$19+K11*PARAMETROS!$E$20</f>
        <v/>
      </c>
      <c r="R11" s="30">
        <f>L11*PARAMETROS!$F$18+M11*PARAMETROS!$F$19+N11*PARAMETROS!$F$20</f>
        <v/>
      </c>
    </row>
    <row r="12">
      <c r="A12" s="3" t="n"/>
      <c r="B12" s="3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17">
        <f>IF(A12=SIMULADOR!$C$5,MAX(0,C12+SIMULADOR!$C$6),C12)</f>
        <v/>
      </c>
      <c r="M12" s="17">
        <f>IF(A12=SIMULADOR!$C$5,MAX(0,D12+SIMULADOR!$C$6),D12)</f>
        <v/>
      </c>
      <c r="N12" s="17">
        <f>IF(A12=SIMULADOR!$C$5,MAX(0,E12+SIMULADOR!$C$6),E12)</f>
        <v/>
      </c>
      <c r="O12" s="30">
        <f>C12*PARAMETROS!$C$18+D12*PARAMETROS!$C$19+E12*PARAMETROS!$C$20</f>
        <v/>
      </c>
      <c r="P12" s="30">
        <f>F12*PARAMETROS!$D$18+G12*PARAMETROS!$D$19+H12*PARAMETROS!$D$20</f>
        <v/>
      </c>
      <c r="Q12" s="30">
        <f>I12*PARAMETROS!$E$18+J12*PARAMETROS!$E$19+K12*PARAMETROS!$E$20</f>
        <v/>
      </c>
      <c r="R12" s="30">
        <f>L12*PARAMETROS!$F$18+M12*PARAMETROS!$F$19+N12*PARAMETROS!$F$20</f>
        <v/>
      </c>
    </row>
    <row r="13">
      <c r="A13" s="3" t="n"/>
      <c r="B13" s="3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17">
        <f>IF(A13=SIMULADOR!$C$5,MAX(0,C13+SIMULADOR!$C$6),C13)</f>
        <v/>
      </c>
      <c r="M13" s="17">
        <f>IF(A13=SIMULADOR!$C$5,MAX(0,D13+SIMULADOR!$C$6),D13)</f>
        <v/>
      </c>
      <c r="N13" s="17">
        <f>IF(A13=SIMULADOR!$C$5,MAX(0,E13+SIMULADOR!$C$6),E13)</f>
        <v/>
      </c>
      <c r="O13" s="30">
        <f>C13*PARAMETROS!$C$18+D13*PARAMETROS!$C$19+E13*PARAMETROS!$C$20</f>
        <v/>
      </c>
      <c r="P13" s="30">
        <f>F13*PARAMETROS!$D$18+G13*PARAMETROS!$D$19+H13*PARAMETROS!$D$20</f>
        <v/>
      </c>
      <c r="Q13" s="30">
        <f>I13*PARAMETROS!$E$18+J13*PARAMETROS!$E$19+K13*PARAMETROS!$E$20</f>
        <v/>
      </c>
      <c r="R13" s="30">
        <f>L13*PARAMETROS!$F$18+M13*PARAMETROS!$F$19+N13*PARAMETROS!$F$20</f>
        <v/>
      </c>
    </row>
    <row r="14">
      <c r="A14" s="3" t="n"/>
      <c r="B14" s="3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17">
        <f>IF(A14=SIMULADOR!$C$5,MAX(0,C14+SIMULADOR!$C$6),C14)</f>
        <v/>
      </c>
      <c r="M14" s="17">
        <f>IF(A14=SIMULADOR!$C$5,MAX(0,D14+SIMULADOR!$C$6),D14)</f>
        <v/>
      </c>
      <c r="N14" s="17">
        <f>IF(A14=SIMULADOR!$C$5,MAX(0,E14+SIMULADOR!$C$6),E14)</f>
        <v/>
      </c>
      <c r="O14" s="30">
        <f>C14*PARAMETROS!$C$18+D14*PARAMETROS!$C$19+E14*PARAMETROS!$C$20</f>
        <v/>
      </c>
      <c r="P14" s="30">
        <f>F14*PARAMETROS!$D$18+G14*PARAMETROS!$D$19+H14*PARAMETROS!$D$20</f>
        <v/>
      </c>
      <c r="Q14" s="30">
        <f>I14*PARAMETROS!$E$18+J14*PARAMETROS!$E$19+K14*PARAMETROS!$E$20</f>
        <v/>
      </c>
      <c r="R14" s="30">
        <f>L14*PARAMETROS!$F$18+M14*PARAMETROS!$F$19+N14*PARAMETROS!$F$20</f>
        <v/>
      </c>
    </row>
    <row r="15">
      <c r="A15" s="3" t="n"/>
      <c r="B15" s="3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17">
        <f>IF(A15=SIMULADOR!$C$5,MAX(0,C15+SIMULADOR!$C$6),C15)</f>
        <v/>
      </c>
      <c r="M15" s="17">
        <f>IF(A15=SIMULADOR!$C$5,MAX(0,D15+SIMULADOR!$C$6),D15)</f>
        <v/>
      </c>
      <c r="N15" s="17">
        <f>IF(A15=SIMULADOR!$C$5,MAX(0,E15+SIMULADOR!$C$6),E15)</f>
        <v/>
      </c>
      <c r="O15" s="30">
        <f>C15*PARAMETROS!$C$18+D15*PARAMETROS!$C$19+E15*PARAMETROS!$C$20</f>
        <v/>
      </c>
      <c r="P15" s="30">
        <f>F15*PARAMETROS!$D$18+G15*PARAMETROS!$D$19+H15*PARAMETROS!$D$20</f>
        <v/>
      </c>
      <c r="Q15" s="30">
        <f>I15*PARAMETROS!$E$18+J15*PARAMETROS!$E$19+K15*PARAMETROS!$E$20</f>
        <v/>
      </c>
      <c r="R15" s="30">
        <f>L15*PARAMETROS!$F$18+M15*PARAMETROS!$F$19+N15*PARAMETROS!$F$20</f>
        <v/>
      </c>
    </row>
    <row r="16">
      <c r="A16" s="3" t="n"/>
      <c r="B16" s="3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17">
        <f>IF(A16=SIMULADOR!$C$5,MAX(0,C16+SIMULADOR!$C$6),C16)</f>
        <v/>
      </c>
      <c r="M16" s="17">
        <f>IF(A16=SIMULADOR!$C$5,MAX(0,D16+SIMULADOR!$C$6),D16)</f>
        <v/>
      </c>
      <c r="N16" s="17">
        <f>IF(A16=SIMULADOR!$C$5,MAX(0,E16+SIMULADOR!$C$6),E16)</f>
        <v/>
      </c>
      <c r="O16" s="30">
        <f>C16*PARAMETROS!$C$18+D16*PARAMETROS!$C$19+E16*PARAMETROS!$C$20</f>
        <v/>
      </c>
      <c r="P16" s="30">
        <f>F16*PARAMETROS!$D$18+G16*PARAMETROS!$D$19+H16*PARAMETROS!$D$20</f>
        <v/>
      </c>
      <c r="Q16" s="30">
        <f>I16*PARAMETROS!$E$18+J16*PARAMETROS!$E$19+K16*PARAMETROS!$E$20</f>
        <v/>
      </c>
      <c r="R16" s="30">
        <f>L16*PARAMETROS!$F$18+M16*PARAMETROS!$F$19+N16*PARAMETROS!$F$20</f>
        <v/>
      </c>
    </row>
    <row r="17">
      <c r="A17" s="3" t="n"/>
      <c r="B17" s="3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17">
        <f>IF(A17=SIMULADOR!$C$5,MAX(0,C17+SIMULADOR!$C$6),C17)</f>
        <v/>
      </c>
      <c r="M17" s="17">
        <f>IF(A17=SIMULADOR!$C$5,MAX(0,D17+SIMULADOR!$C$6),D17)</f>
        <v/>
      </c>
      <c r="N17" s="17">
        <f>IF(A17=SIMULADOR!$C$5,MAX(0,E17+SIMULADOR!$C$6),E17)</f>
        <v/>
      </c>
      <c r="O17" s="30">
        <f>C17*PARAMETROS!$C$18+D17*PARAMETROS!$C$19+E17*PARAMETROS!$C$20</f>
        <v/>
      </c>
      <c r="P17" s="30">
        <f>F17*PARAMETROS!$D$18+G17*PARAMETROS!$D$19+H17*PARAMETROS!$D$20</f>
        <v/>
      </c>
      <c r="Q17" s="30">
        <f>I17*PARAMETROS!$E$18+J17*PARAMETROS!$E$19+K17*PARAMETROS!$E$20</f>
        <v/>
      </c>
      <c r="R17" s="30">
        <f>L17*PARAMETROS!$F$18+M17*PARAMETROS!$F$19+N17*PARAMETROS!$F$20</f>
        <v/>
      </c>
    </row>
    <row r="18">
      <c r="A18" s="3" t="n"/>
      <c r="B18" s="3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17">
        <f>IF(A18=SIMULADOR!$C$5,MAX(0,C18+SIMULADOR!$C$6),C18)</f>
        <v/>
      </c>
      <c r="M18" s="17">
        <f>IF(A18=SIMULADOR!$C$5,MAX(0,D18+SIMULADOR!$C$6),D18)</f>
        <v/>
      </c>
      <c r="N18" s="17">
        <f>IF(A18=SIMULADOR!$C$5,MAX(0,E18+SIMULADOR!$C$6),E18)</f>
        <v/>
      </c>
      <c r="O18" s="30">
        <f>C18*PARAMETROS!$C$18+D18*PARAMETROS!$C$19+E18*PARAMETROS!$C$20</f>
        <v/>
      </c>
      <c r="P18" s="30">
        <f>F18*PARAMETROS!$D$18+G18*PARAMETROS!$D$19+H18*PARAMETROS!$D$20</f>
        <v/>
      </c>
      <c r="Q18" s="30">
        <f>I18*PARAMETROS!$E$18+J18*PARAMETROS!$E$19+K18*PARAMETROS!$E$20</f>
        <v/>
      </c>
      <c r="R18" s="30">
        <f>L18*PARAMETROS!$F$18+M18*PARAMETROS!$F$19+N18*PARAMETROS!$F$20</f>
        <v/>
      </c>
    </row>
    <row r="19">
      <c r="A19" s="3" t="n"/>
      <c r="B19" s="3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17">
        <f>IF(A19=SIMULADOR!$C$5,MAX(0,C19+SIMULADOR!$C$6),C19)</f>
        <v/>
      </c>
      <c r="M19" s="17">
        <f>IF(A19=SIMULADOR!$C$5,MAX(0,D19+SIMULADOR!$C$6),D19)</f>
        <v/>
      </c>
      <c r="N19" s="17">
        <f>IF(A19=SIMULADOR!$C$5,MAX(0,E19+SIMULADOR!$C$6),E19)</f>
        <v/>
      </c>
      <c r="O19" s="30">
        <f>C19*PARAMETROS!$C$18+D19*PARAMETROS!$C$19+E19*PARAMETROS!$C$20</f>
        <v/>
      </c>
      <c r="P19" s="30">
        <f>F19*PARAMETROS!$D$18+G19*PARAMETROS!$D$19+H19*PARAMETROS!$D$20</f>
        <v/>
      </c>
      <c r="Q19" s="30">
        <f>I19*PARAMETROS!$E$18+J19*PARAMETROS!$E$19+K19*PARAMETROS!$E$20</f>
        <v/>
      </c>
      <c r="R19" s="30">
        <f>L19*PARAMETROS!$F$18+M19*PARAMETROS!$F$19+N19*PARAMETROS!$F$20</f>
        <v/>
      </c>
    </row>
    <row r="20">
      <c r="A20" s="3" t="n"/>
      <c r="B20" s="3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17">
        <f>IF(A20=SIMULADOR!$C$5,MAX(0,C20+SIMULADOR!$C$6),C20)</f>
        <v/>
      </c>
      <c r="M20" s="17">
        <f>IF(A20=SIMULADOR!$C$5,MAX(0,D20+SIMULADOR!$C$6),D20)</f>
        <v/>
      </c>
      <c r="N20" s="17">
        <f>IF(A20=SIMULADOR!$C$5,MAX(0,E20+SIMULADOR!$C$6),E20)</f>
        <v/>
      </c>
      <c r="O20" s="30">
        <f>C20*PARAMETROS!$C$18+D20*PARAMETROS!$C$19+E20*PARAMETROS!$C$20</f>
        <v/>
      </c>
      <c r="P20" s="30">
        <f>F20*PARAMETROS!$D$18+G20*PARAMETROS!$D$19+H20*PARAMETROS!$D$20</f>
        <v/>
      </c>
      <c r="Q20" s="30">
        <f>I20*PARAMETROS!$E$18+J20*PARAMETROS!$E$19+K20*PARAMETROS!$E$20</f>
        <v/>
      </c>
      <c r="R20" s="30">
        <f>L20*PARAMETROS!$F$18+M20*PARAMETROS!$F$19+N20*PARAMETROS!$F$20</f>
        <v/>
      </c>
    </row>
    <row r="21">
      <c r="A21" s="31" t="inlineStr">
        <is>
          <t>TOTAL</t>
        </is>
      </c>
      <c r="C21" s="32">
        <f>SUM(C6:C20)</f>
        <v/>
      </c>
      <c r="D21" s="32">
        <f>SUM(D6:D20)</f>
        <v/>
      </c>
      <c r="E21" s="32">
        <f>SUM(E6:E20)</f>
        <v/>
      </c>
      <c r="F21" s="32">
        <f>SUM(F6:F20)</f>
        <v/>
      </c>
      <c r="G21" s="32">
        <f>SUM(G6:G20)</f>
        <v/>
      </c>
      <c r="H21" s="32">
        <f>SUM(H6:H20)</f>
        <v/>
      </c>
      <c r="I21" s="32">
        <f>SUM(I6:I20)</f>
        <v/>
      </c>
      <c r="J21" s="32">
        <f>SUM(J6:J20)</f>
        <v/>
      </c>
      <c r="K21" s="32">
        <f>SUM(K6:K20)</f>
        <v/>
      </c>
      <c r="L21" s="32">
        <f>SUM(L6:L20)</f>
        <v/>
      </c>
      <c r="M21" s="32">
        <f>SUM(M6:M20)</f>
        <v/>
      </c>
      <c r="N21" s="32">
        <f>SUM(N6:N20)</f>
        <v/>
      </c>
      <c r="O21" s="32">
        <f>SUM(O6:O20)</f>
        <v/>
      </c>
      <c r="P21" s="32">
        <f>SUM(P6:P20)</f>
        <v/>
      </c>
      <c r="Q21" s="32">
        <f>SUM(Q6:Q20)</f>
        <v/>
      </c>
      <c r="R21" s="32">
        <f>SUM(R6:R20)</f>
        <v/>
      </c>
    </row>
  </sheetData>
  <dataValidations count="1">
    <dataValidation sqref="B6:B20" showDropDown="0" showInputMessage="0" showErrorMessage="0" allowBlank="1" type="list">
      <formula1>=PARAMETROS!$B$40:$B$43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30" customWidth="1" min="12" max="12"/>
  </cols>
  <sheetData>
    <row r="1">
      <c r="A1" s="1" t="inlineStr">
        <is>
          <t>TEMPOS PADRÃO × TEMPO REAL</t>
        </is>
      </c>
    </row>
    <row r="2">
      <c r="A2" s="4" t="inlineStr">
        <is>
          <t>Visão calculada da BASE. Para alterar tempos, edite a aba BASE (colunas H e I).</t>
        </is>
      </c>
    </row>
    <row r="5" ht="32" customHeight="1">
      <c r="A5" s="5" t="inlineStr">
        <is>
          <t>Família</t>
        </is>
      </c>
      <c r="B5" s="5" t="inlineStr">
        <is>
          <t>Modelo</t>
        </is>
      </c>
      <c r="C5" s="5" t="inlineStr">
        <is>
          <t>Peça</t>
        </is>
      </c>
      <c r="D5" s="5" t="inlineStr">
        <is>
          <t>Processo</t>
        </is>
      </c>
      <c r="E5" s="5" t="inlineStr">
        <is>
          <t>Célula</t>
        </is>
      </c>
      <c r="F5" s="5" t="inlineStr">
        <is>
          <t>Máquina</t>
        </is>
      </c>
      <c r="G5" s="5" t="inlineStr">
        <is>
          <t>Tempo padrão (min/pç)</t>
        </is>
      </c>
      <c r="H5" s="5" t="inlineStr">
        <is>
          <t>Tempo real (min/pç)</t>
        </is>
      </c>
      <c r="I5" s="5" t="inlineStr">
        <is>
          <t>Desvio (min)</t>
        </is>
      </c>
      <c r="J5" s="5" t="inlineStr">
        <is>
          <t>Desvio %</t>
        </is>
      </c>
      <c r="K5" s="5" t="inlineStr">
        <is>
          <t>Eficiência (TP/TR)</t>
        </is>
      </c>
      <c r="L5" s="5" t="inlineStr">
        <is>
          <t>Pendência</t>
        </is>
      </c>
    </row>
    <row r="6">
      <c r="A6" s="11">
        <f>IF(BASE!A6="","",BASE!A6)</f>
        <v/>
      </c>
      <c r="B6" s="11">
        <f>IF(BASE!B6="","",BASE!B6)</f>
        <v/>
      </c>
      <c r="C6" s="11">
        <f>IF(BASE!C6="","",BASE!C6)</f>
        <v/>
      </c>
      <c r="D6" s="11">
        <f>IF(BASE!D6="","",BASE!D6)</f>
        <v/>
      </c>
      <c r="E6" s="11">
        <f>IF(BASE!E6="","",BASE!E6)</f>
        <v/>
      </c>
      <c r="F6" s="11">
        <f>IF(BASE!F6="","",BASE!F6)</f>
        <v/>
      </c>
      <c r="G6" s="33">
        <f>IF(BASE!H6="","",BASE!H6)</f>
        <v/>
      </c>
      <c r="H6" s="33">
        <f>IF(BASE!I6="","",BASE!I6)</f>
        <v/>
      </c>
      <c r="I6" s="34">
        <f>IF(AND(ISNUMBER(G6),ISNUMBER(H6)),H6-G6,"")</f>
        <v/>
      </c>
      <c r="J6" s="35">
        <f>IF(AND(ISNUMBER(I6),G6&gt;0),I6/G6,"")</f>
        <v/>
      </c>
      <c r="K6" s="36">
        <f>BASE!Q6</f>
        <v/>
      </c>
      <c r="L6" s="37">
        <f>IF(BASE!C6="","",IF(BASE!H6="","PENDENTE: tempo padrão",IF(BASE!I6="","tempo real ausente (usa padrão)","")))</f>
        <v/>
      </c>
    </row>
    <row r="7">
      <c r="A7" s="11">
        <f>IF(BASE!A7="","",BASE!A7)</f>
        <v/>
      </c>
      <c r="B7" s="11">
        <f>IF(BASE!B7="","",BASE!B7)</f>
        <v/>
      </c>
      <c r="C7" s="11">
        <f>IF(BASE!C7="","",BASE!C7)</f>
        <v/>
      </c>
      <c r="D7" s="11">
        <f>IF(BASE!D7="","",BASE!D7)</f>
        <v/>
      </c>
      <c r="E7" s="11">
        <f>IF(BASE!E7="","",BASE!E7)</f>
        <v/>
      </c>
      <c r="F7" s="11">
        <f>IF(BASE!F7="","",BASE!F7)</f>
        <v/>
      </c>
      <c r="G7" s="33">
        <f>IF(BASE!H7="","",BASE!H7)</f>
        <v/>
      </c>
      <c r="H7" s="33">
        <f>IF(BASE!I7="","",BASE!I7)</f>
        <v/>
      </c>
      <c r="I7" s="34">
        <f>IF(AND(ISNUMBER(G7),ISNUMBER(H7)),H7-G7,"")</f>
        <v/>
      </c>
      <c r="J7" s="35">
        <f>IF(AND(ISNUMBER(I7),G7&gt;0),I7/G7,"")</f>
        <v/>
      </c>
      <c r="K7" s="36">
        <f>BASE!Q7</f>
        <v/>
      </c>
      <c r="L7" s="37">
        <f>IF(BASE!C7="","",IF(BASE!H7="","PENDENTE: tempo padrão",IF(BASE!I7="","tempo real ausente (usa padrão)","")))</f>
        <v/>
      </c>
    </row>
    <row r="8">
      <c r="A8" s="11">
        <f>IF(BASE!A8="","",BASE!A8)</f>
        <v/>
      </c>
      <c r="B8" s="11">
        <f>IF(BASE!B8="","",BASE!B8)</f>
        <v/>
      </c>
      <c r="C8" s="11">
        <f>IF(BASE!C8="","",BASE!C8)</f>
        <v/>
      </c>
      <c r="D8" s="11">
        <f>IF(BASE!D8="","",BASE!D8)</f>
        <v/>
      </c>
      <c r="E8" s="11">
        <f>IF(BASE!E8="","",BASE!E8)</f>
        <v/>
      </c>
      <c r="F8" s="11">
        <f>IF(BASE!F8="","",BASE!F8)</f>
        <v/>
      </c>
      <c r="G8" s="33">
        <f>IF(BASE!H8="","",BASE!H8)</f>
        <v/>
      </c>
      <c r="H8" s="33">
        <f>IF(BASE!I8="","",BASE!I8)</f>
        <v/>
      </c>
      <c r="I8" s="34">
        <f>IF(AND(ISNUMBER(G8),ISNUMBER(H8)),H8-G8,"")</f>
        <v/>
      </c>
      <c r="J8" s="35">
        <f>IF(AND(ISNUMBER(I8),G8&gt;0),I8/G8,"")</f>
        <v/>
      </c>
      <c r="K8" s="36">
        <f>BASE!Q8</f>
        <v/>
      </c>
      <c r="L8" s="37">
        <f>IF(BASE!C8="","",IF(BASE!H8="","PENDENTE: tempo padrão",IF(BASE!I8="","tempo real ausente (usa padrão)","")))</f>
        <v/>
      </c>
    </row>
    <row r="9">
      <c r="A9" s="11">
        <f>IF(BASE!A9="","",BASE!A9)</f>
        <v/>
      </c>
      <c r="B9" s="11">
        <f>IF(BASE!B9="","",BASE!B9)</f>
        <v/>
      </c>
      <c r="C9" s="11">
        <f>IF(BASE!C9="","",BASE!C9)</f>
        <v/>
      </c>
      <c r="D9" s="11">
        <f>IF(BASE!D9="","",BASE!D9)</f>
        <v/>
      </c>
      <c r="E9" s="11">
        <f>IF(BASE!E9="","",BASE!E9)</f>
        <v/>
      </c>
      <c r="F9" s="11">
        <f>IF(BASE!F9="","",BASE!F9)</f>
        <v/>
      </c>
      <c r="G9" s="33">
        <f>IF(BASE!H9="","",BASE!H9)</f>
        <v/>
      </c>
      <c r="H9" s="33">
        <f>IF(BASE!I9="","",BASE!I9)</f>
        <v/>
      </c>
      <c r="I9" s="34">
        <f>IF(AND(ISNUMBER(G9),ISNUMBER(H9)),H9-G9,"")</f>
        <v/>
      </c>
      <c r="J9" s="35">
        <f>IF(AND(ISNUMBER(I9),G9&gt;0),I9/G9,"")</f>
        <v/>
      </c>
      <c r="K9" s="36">
        <f>BASE!Q9</f>
        <v/>
      </c>
      <c r="L9" s="37">
        <f>IF(BASE!C9="","",IF(BASE!H9="","PENDENTE: tempo padrão",IF(BASE!I9="","tempo real ausente (usa padrão)","")))</f>
        <v/>
      </c>
    </row>
    <row r="10">
      <c r="A10" s="11">
        <f>IF(BASE!A10="","",BASE!A10)</f>
        <v/>
      </c>
      <c r="B10" s="11">
        <f>IF(BASE!B10="","",BASE!B10)</f>
        <v/>
      </c>
      <c r="C10" s="11">
        <f>IF(BASE!C10="","",BASE!C10)</f>
        <v/>
      </c>
      <c r="D10" s="11">
        <f>IF(BASE!D10="","",BASE!D10)</f>
        <v/>
      </c>
      <c r="E10" s="11">
        <f>IF(BASE!E10="","",BASE!E10)</f>
        <v/>
      </c>
      <c r="F10" s="11">
        <f>IF(BASE!F10="","",BASE!F10)</f>
        <v/>
      </c>
      <c r="G10" s="33">
        <f>IF(BASE!H10="","",BASE!H10)</f>
        <v/>
      </c>
      <c r="H10" s="33">
        <f>IF(BASE!I10="","",BASE!I10)</f>
        <v/>
      </c>
      <c r="I10" s="34">
        <f>IF(AND(ISNUMBER(G10),ISNUMBER(H10)),H10-G10,"")</f>
        <v/>
      </c>
      <c r="J10" s="35">
        <f>IF(AND(ISNUMBER(I10),G10&gt;0),I10/G10,"")</f>
        <v/>
      </c>
      <c r="K10" s="36">
        <f>BASE!Q10</f>
        <v/>
      </c>
      <c r="L10" s="37">
        <f>IF(BASE!C10="","",IF(BASE!H10="","PENDENTE: tempo padrão",IF(BASE!I10="","tempo real ausente (usa padrão)","")))</f>
        <v/>
      </c>
    </row>
    <row r="11">
      <c r="A11" s="11">
        <f>IF(BASE!A11="","",BASE!A11)</f>
        <v/>
      </c>
      <c r="B11" s="11">
        <f>IF(BASE!B11="","",BASE!B11)</f>
        <v/>
      </c>
      <c r="C11" s="11">
        <f>IF(BASE!C11="","",BASE!C11)</f>
        <v/>
      </c>
      <c r="D11" s="11">
        <f>IF(BASE!D11="","",BASE!D11)</f>
        <v/>
      </c>
      <c r="E11" s="11">
        <f>IF(BASE!E11="","",BASE!E11)</f>
        <v/>
      </c>
      <c r="F11" s="11">
        <f>IF(BASE!F11="","",BASE!F11)</f>
        <v/>
      </c>
      <c r="G11" s="33">
        <f>IF(BASE!H11="","",BASE!H11)</f>
        <v/>
      </c>
      <c r="H11" s="33">
        <f>IF(BASE!I11="","",BASE!I11)</f>
        <v/>
      </c>
      <c r="I11" s="34">
        <f>IF(AND(ISNUMBER(G11),ISNUMBER(H11)),H11-G11,"")</f>
        <v/>
      </c>
      <c r="J11" s="35">
        <f>IF(AND(ISNUMBER(I11),G11&gt;0),I11/G11,"")</f>
        <v/>
      </c>
      <c r="K11" s="36">
        <f>BASE!Q11</f>
        <v/>
      </c>
      <c r="L11" s="37">
        <f>IF(BASE!C11="","",IF(BASE!H11="","PENDENTE: tempo padrão",IF(BASE!I11="","tempo real ausente (usa padrão)","")))</f>
        <v/>
      </c>
    </row>
    <row r="12">
      <c r="A12" s="11">
        <f>IF(BASE!A12="","",BASE!A12)</f>
        <v/>
      </c>
      <c r="B12" s="11">
        <f>IF(BASE!B12="","",BASE!B12)</f>
        <v/>
      </c>
      <c r="C12" s="11">
        <f>IF(BASE!C12="","",BASE!C12)</f>
        <v/>
      </c>
      <c r="D12" s="11">
        <f>IF(BASE!D12="","",BASE!D12)</f>
        <v/>
      </c>
      <c r="E12" s="11">
        <f>IF(BASE!E12="","",BASE!E12)</f>
        <v/>
      </c>
      <c r="F12" s="11">
        <f>IF(BASE!F12="","",BASE!F12)</f>
        <v/>
      </c>
      <c r="G12" s="33">
        <f>IF(BASE!H12="","",BASE!H12)</f>
        <v/>
      </c>
      <c r="H12" s="33">
        <f>IF(BASE!I12="","",BASE!I12)</f>
        <v/>
      </c>
      <c r="I12" s="34">
        <f>IF(AND(ISNUMBER(G12),ISNUMBER(H12)),H12-G12,"")</f>
        <v/>
      </c>
      <c r="J12" s="35">
        <f>IF(AND(ISNUMBER(I12),G12&gt;0),I12/G12,"")</f>
        <v/>
      </c>
      <c r="K12" s="36">
        <f>BASE!Q12</f>
        <v/>
      </c>
      <c r="L12" s="37">
        <f>IF(BASE!C12="","",IF(BASE!H12="","PENDENTE: tempo padrão",IF(BASE!I12="","tempo real ausente (usa padrão)","")))</f>
        <v/>
      </c>
    </row>
    <row r="13">
      <c r="A13" s="11">
        <f>IF(BASE!A13="","",BASE!A13)</f>
        <v/>
      </c>
      <c r="B13" s="11">
        <f>IF(BASE!B13="","",BASE!B13)</f>
        <v/>
      </c>
      <c r="C13" s="11">
        <f>IF(BASE!C13="","",BASE!C13)</f>
        <v/>
      </c>
      <c r="D13" s="11">
        <f>IF(BASE!D13="","",BASE!D13)</f>
        <v/>
      </c>
      <c r="E13" s="11">
        <f>IF(BASE!E13="","",BASE!E13)</f>
        <v/>
      </c>
      <c r="F13" s="11">
        <f>IF(BASE!F13="","",BASE!F13)</f>
        <v/>
      </c>
      <c r="G13" s="33">
        <f>IF(BASE!H13="","",BASE!H13)</f>
        <v/>
      </c>
      <c r="H13" s="33">
        <f>IF(BASE!I13="","",BASE!I13)</f>
        <v/>
      </c>
      <c r="I13" s="34">
        <f>IF(AND(ISNUMBER(G13),ISNUMBER(H13)),H13-G13,"")</f>
        <v/>
      </c>
      <c r="J13" s="35">
        <f>IF(AND(ISNUMBER(I13),G13&gt;0),I13/G13,"")</f>
        <v/>
      </c>
      <c r="K13" s="36">
        <f>BASE!Q13</f>
        <v/>
      </c>
      <c r="L13" s="37">
        <f>IF(BASE!C13="","",IF(BASE!H13="","PENDENTE: tempo padrão",IF(BASE!I13="","tempo real ausente (usa padrão)","")))</f>
        <v/>
      </c>
    </row>
    <row r="14">
      <c r="A14" s="11">
        <f>IF(BASE!A14="","",BASE!A14)</f>
        <v/>
      </c>
      <c r="B14" s="11">
        <f>IF(BASE!B14="","",BASE!B14)</f>
        <v/>
      </c>
      <c r="C14" s="11">
        <f>IF(BASE!C14="","",BASE!C14)</f>
        <v/>
      </c>
      <c r="D14" s="11">
        <f>IF(BASE!D14="","",BASE!D14)</f>
        <v/>
      </c>
      <c r="E14" s="11">
        <f>IF(BASE!E14="","",BASE!E14)</f>
        <v/>
      </c>
      <c r="F14" s="11">
        <f>IF(BASE!F14="","",BASE!F14)</f>
        <v/>
      </c>
      <c r="G14" s="33">
        <f>IF(BASE!H14="","",BASE!H14)</f>
        <v/>
      </c>
      <c r="H14" s="33">
        <f>IF(BASE!I14="","",BASE!I14)</f>
        <v/>
      </c>
      <c r="I14" s="34">
        <f>IF(AND(ISNUMBER(G14),ISNUMBER(H14)),H14-G14,"")</f>
        <v/>
      </c>
      <c r="J14" s="35">
        <f>IF(AND(ISNUMBER(I14),G14&gt;0),I14/G14,"")</f>
        <v/>
      </c>
      <c r="K14" s="36">
        <f>BASE!Q14</f>
        <v/>
      </c>
      <c r="L14" s="37">
        <f>IF(BASE!C14="","",IF(BASE!H14="","PENDENTE: tempo padrão",IF(BASE!I14="","tempo real ausente (usa padrão)","")))</f>
        <v/>
      </c>
    </row>
    <row r="15">
      <c r="A15" s="11">
        <f>IF(BASE!A15="","",BASE!A15)</f>
        <v/>
      </c>
      <c r="B15" s="11">
        <f>IF(BASE!B15="","",BASE!B15)</f>
        <v/>
      </c>
      <c r="C15" s="11">
        <f>IF(BASE!C15="","",BASE!C15)</f>
        <v/>
      </c>
      <c r="D15" s="11">
        <f>IF(BASE!D15="","",BASE!D15)</f>
        <v/>
      </c>
      <c r="E15" s="11">
        <f>IF(BASE!E15="","",BASE!E15)</f>
        <v/>
      </c>
      <c r="F15" s="11">
        <f>IF(BASE!F15="","",BASE!F15)</f>
        <v/>
      </c>
      <c r="G15" s="33">
        <f>IF(BASE!H15="","",BASE!H15)</f>
        <v/>
      </c>
      <c r="H15" s="33">
        <f>IF(BASE!I15="","",BASE!I15)</f>
        <v/>
      </c>
      <c r="I15" s="34">
        <f>IF(AND(ISNUMBER(G15),ISNUMBER(H15)),H15-G15,"")</f>
        <v/>
      </c>
      <c r="J15" s="35">
        <f>IF(AND(ISNUMBER(I15),G15&gt;0),I15/G15,"")</f>
        <v/>
      </c>
      <c r="K15" s="36">
        <f>BASE!Q15</f>
        <v/>
      </c>
      <c r="L15" s="37">
        <f>IF(BASE!C15="","",IF(BASE!H15="","PENDENTE: tempo padrão",IF(BASE!I15="","tempo real ausente (usa padrão)","")))</f>
        <v/>
      </c>
    </row>
    <row r="16">
      <c r="A16" s="11">
        <f>IF(BASE!A16="","",BASE!A16)</f>
        <v/>
      </c>
      <c r="B16" s="11">
        <f>IF(BASE!B16="","",BASE!B16)</f>
        <v/>
      </c>
      <c r="C16" s="11">
        <f>IF(BASE!C16="","",BASE!C16)</f>
        <v/>
      </c>
      <c r="D16" s="11">
        <f>IF(BASE!D16="","",BASE!D16)</f>
        <v/>
      </c>
      <c r="E16" s="11">
        <f>IF(BASE!E16="","",BASE!E16)</f>
        <v/>
      </c>
      <c r="F16" s="11">
        <f>IF(BASE!F16="","",BASE!F16)</f>
        <v/>
      </c>
      <c r="G16" s="33">
        <f>IF(BASE!H16="","",BASE!H16)</f>
        <v/>
      </c>
      <c r="H16" s="33">
        <f>IF(BASE!I16="","",BASE!I16)</f>
        <v/>
      </c>
      <c r="I16" s="34">
        <f>IF(AND(ISNUMBER(G16),ISNUMBER(H16)),H16-G16,"")</f>
        <v/>
      </c>
      <c r="J16" s="35">
        <f>IF(AND(ISNUMBER(I16),G16&gt;0),I16/G16,"")</f>
        <v/>
      </c>
      <c r="K16" s="36">
        <f>BASE!Q16</f>
        <v/>
      </c>
      <c r="L16" s="37">
        <f>IF(BASE!C16="","",IF(BASE!H16="","PENDENTE: tempo padrão",IF(BASE!I16="","tempo real ausente (usa padrão)","")))</f>
        <v/>
      </c>
    </row>
    <row r="17">
      <c r="A17" s="11">
        <f>IF(BASE!A17="","",BASE!A17)</f>
        <v/>
      </c>
      <c r="B17" s="11">
        <f>IF(BASE!B17="","",BASE!B17)</f>
        <v/>
      </c>
      <c r="C17" s="11">
        <f>IF(BASE!C17="","",BASE!C17)</f>
        <v/>
      </c>
      <c r="D17" s="11">
        <f>IF(BASE!D17="","",BASE!D17)</f>
        <v/>
      </c>
      <c r="E17" s="11">
        <f>IF(BASE!E17="","",BASE!E17)</f>
        <v/>
      </c>
      <c r="F17" s="11">
        <f>IF(BASE!F17="","",BASE!F17)</f>
        <v/>
      </c>
      <c r="G17" s="33">
        <f>IF(BASE!H17="","",BASE!H17)</f>
        <v/>
      </c>
      <c r="H17" s="33">
        <f>IF(BASE!I17="","",BASE!I17)</f>
        <v/>
      </c>
      <c r="I17" s="34">
        <f>IF(AND(ISNUMBER(G17),ISNUMBER(H17)),H17-G17,"")</f>
        <v/>
      </c>
      <c r="J17" s="35">
        <f>IF(AND(ISNUMBER(I17),G17&gt;0),I17/G17,"")</f>
        <v/>
      </c>
      <c r="K17" s="36">
        <f>BASE!Q17</f>
        <v/>
      </c>
      <c r="L17" s="37">
        <f>IF(BASE!C17="","",IF(BASE!H17="","PENDENTE: tempo padrão",IF(BASE!I17="","tempo real ausente (usa padrão)","")))</f>
        <v/>
      </c>
    </row>
    <row r="18">
      <c r="A18" s="11">
        <f>IF(BASE!A18="","",BASE!A18)</f>
        <v/>
      </c>
      <c r="B18" s="11">
        <f>IF(BASE!B18="","",BASE!B18)</f>
        <v/>
      </c>
      <c r="C18" s="11">
        <f>IF(BASE!C18="","",BASE!C18)</f>
        <v/>
      </c>
      <c r="D18" s="11">
        <f>IF(BASE!D18="","",BASE!D18)</f>
        <v/>
      </c>
      <c r="E18" s="11">
        <f>IF(BASE!E18="","",BASE!E18)</f>
        <v/>
      </c>
      <c r="F18" s="11">
        <f>IF(BASE!F18="","",BASE!F18)</f>
        <v/>
      </c>
      <c r="G18" s="33">
        <f>IF(BASE!H18="","",BASE!H18)</f>
        <v/>
      </c>
      <c r="H18" s="33">
        <f>IF(BASE!I18="","",BASE!I18)</f>
        <v/>
      </c>
      <c r="I18" s="34">
        <f>IF(AND(ISNUMBER(G18),ISNUMBER(H18)),H18-G18,"")</f>
        <v/>
      </c>
      <c r="J18" s="35">
        <f>IF(AND(ISNUMBER(I18),G18&gt;0),I18/G18,"")</f>
        <v/>
      </c>
      <c r="K18" s="36">
        <f>BASE!Q18</f>
        <v/>
      </c>
      <c r="L18" s="37">
        <f>IF(BASE!C18="","",IF(BASE!H18="","PENDENTE: tempo padrão",IF(BASE!I18="","tempo real ausente (usa padrão)","")))</f>
        <v/>
      </c>
    </row>
    <row r="19">
      <c r="A19" s="11">
        <f>IF(BASE!A19="","",BASE!A19)</f>
        <v/>
      </c>
      <c r="B19" s="11">
        <f>IF(BASE!B19="","",BASE!B19)</f>
        <v/>
      </c>
      <c r="C19" s="11">
        <f>IF(BASE!C19="","",BASE!C19)</f>
        <v/>
      </c>
      <c r="D19" s="11">
        <f>IF(BASE!D19="","",BASE!D19)</f>
        <v/>
      </c>
      <c r="E19" s="11">
        <f>IF(BASE!E19="","",BASE!E19)</f>
        <v/>
      </c>
      <c r="F19" s="11">
        <f>IF(BASE!F19="","",BASE!F19)</f>
        <v/>
      </c>
      <c r="G19" s="33">
        <f>IF(BASE!H19="","",BASE!H19)</f>
        <v/>
      </c>
      <c r="H19" s="33">
        <f>IF(BASE!I19="","",BASE!I19)</f>
        <v/>
      </c>
      <c r="I19" s="34">
        <f>IF(AND(ISNUMBER(G19),ISNUMBER(H19)),H19-G19,"")</f>
        <v/>
      </c>
      <c r="J19" s="35">
        <f>IF(AND(ISNUMBER(I19),G19&gt;0),I19/G19,"")</f>
        <v/>
      </c>
      <c r="K19" s="36">
        <f>BASE!Q19</f>
        <v/>
      </c>
      <c r="L19" s="37">
        <f>IF(BASE!C19="","",IF(BASE!H19="","PENDENTE: tempo padrão",IF(BASE!I19="","tempo real ausente (usa padrão)","")))</f>
        <v/>
      </c>
    </row>
    <row r="20">
      <c r="A20" s="11">
        <f>IF(BASE!A20="","",BASE!A20)</f>
        <v/>
      </c>
      <c r="B20" s="11">
        <f>IF(BASE!B20="","",BASE!B20)</f>
        <v/>
      </c>
      <c r="C20" s="11">
        <f>IF(BASE!C20="","",BASE!C20)</f>
        <v/>
      </c>
      <c r="D20" s="11">
        <f>IF(BASE!D20="","",BASE!D20)</f>
        <v/>
      </c>
      <c r="E20" s="11">
        <f>IF(BASE!E20="","",BASE!E20)</f>
        <v/>
      </c>
      <c r="F20" s="11">
        <f>IF(BASE!F20="","",BASE!F20)</f>
        <v/>
      </c>
      <c r="G20" s="33">
        <f>IF(BASE!H20="","",BASE!H20)</f>
        <v/>
      </c>
      <c r="H20" s="33">
        <f>IF(BASE!I20="","",BASE!I20)</f>
        <v/>
      </c>
      <c r="I20" s="34">
        <f>IF(AND(ISNUMBER(G20),ISNUMBER(H20)),H20-G20,"")</f>
        <v/>
      </c>
      <c r="J20" s="35">
        <f>IF(AND(ISNUMBER(I20),G20&gt;0),I20/G20,"")</f>
        <v/>
      </c>
      <c r="K20" s="36">
        <f>BASE!Q20</f>
        <v/>
      </c>
      <c r="L20" s="37">
        <f>IF(BASE!C20="","",IF(BASE!H20="","PENDENTE: tempo padrão",IF(BASE!I20="","tempo real ausente (usa padrão)","")))</f>
        <v/>
      </c>
    </row>
    <row r="21">
      <c r="A21" s="11">
        <f>IF(BASE!A21="","",BASE!A21)</f>
        <v/>
      </c>
      <c r="B21" s="11">
        <f>IF(BASE!B21="","",BASE!B21)</f>
        <v/>
      </c>
      <c r="C21" s="11">
        <f>IF(BASE!C21="","",BASE!C21)</f>
        <v/>
      </c>
      <c r="D21" s="11">
        <f>IF(BASE!D21="","",BASE!D21)</f>
        <v/>
      </c>
      <c r="E21" s="11">
        <f>IF(BASE!E21="","",BASE!E21)</f>
        <v/>
      </c>
      <c r="F21" s="11">
        <f>IF(BASE!F21="","",BASE!F21)</f>
        <v/>
      </c>
      <c r="G21" s="33">
        <f>IF(BASE!H21="","",BASE!H21)</f>
        <v/>
      </c>
      <c r="H21" s="33">
        <f>IF(BASE!I21="","",BASE!I21)</f>
        <v/>
      </c>
      <c r="I21" s="34">
        <f>IF(AND(ISNUMBER(G21),ISNUMBER(H21)),H21-G21,"")</f>
        <v/>
      </c>
      <c r="J21" s="35">
        <f>IF(AND(ISNUMBER(I21),G21&gt;0),I21/G21,"")</f>
        <v/>
      </c>
      <c r="K21" s="36">
        <f>BASE!Q21</f>
        <v/>
      </c>
      <c r="L21" s="37">
        <f>IF(BASE!C21="","",IF(BASE!H21="","PENDENTE: tempo padrão",IF(BASE!I21="","tempo real ausente (usa padrão)","")))</f>
        <v/>
      </c>
    </row>
    <row r="22">
      <c r="A22" s="11">
        <f>IF(BASE!A22="","",BASE!A22)</f>
        <v/>
      </c>
      <c r="B22" s="11">
        <f>IF(BASE!B22="","",BASE!B22)</f>
        <v/>
      </c>
      <c r="C22" s="11">
        <f>IF(BASE!C22="","",BASE!C22)</f>
        <v/>
      </c>
      <c r="D22" s="11">
        <f>IF(BASE!D22="","",BASE!D22)</f>
        <v/>
      </c>
      <c r="E22" s="11">
        <f>IF(BASE!E22="","",BASE!E22)</f>
        <v/>
      </c>
      <c r="F22" s="11">
        <f>IF(BASE!F22="","",BASE!F22)</f>
        <v/>
      </c>
      <c r="G22" s="33">
        <f>IF(BASE!H22="","",BASE!H22)</f>
        <v/>
      </c>
      <c r="H22" s="33">
        <f>IF(BASE!I22="","",BASE!I22)</f>
        <v/>
      </c>
      <c r="I22" s="34">
        <f>IF(AND(ISNUMBER(G22),ISNUMBER(H22)),H22-G22,"")</f>
        <v/>
      </c>
      <c r="J22" s="35">
        <f>IF(AND(ISNUMBER(I22),G22&gt;0),I22/G22,"")</f>
        <v/>
      </c>
      <c r="K22" s="36">
        <f>BASE!Q22</f>
        <v/>
      </c>
      <c r="L22" s="37">
        <f>IF(BASE!C22="","",IF(BASE!H22="","PENDENTE: tempo padrão",IF(BASE!I22="","tempo real ausente (usa padrão)","")))</f>
        <v/>
      </c>
    </row>
    <row r="23">
      <c r="A23" s="11">
        <f>IF(BASE!A23="","",BASE!A23)</f>
        <v/>
      </c>
      <c r="B23" s="11">
        <f>IF(BASE!B23="","",BASE!B23)</f>
        <v/>
      </c>
      <c r="C23" s="11">
        <f>IF(BASE!C23="","",BASE!C23)</f>
        <v/>
      </c>
      <c r="D23" s="11">
        <f>IF(BASE!D23="","",BASE!D23)</f>
        <v/>
      </c>
      <c r="E23" s="11">
        <f>IF(BASE!E23="","",BASE!E23)</f>
        <v/>
      </c>
      <c r="F23" s="11">
        <f>IF(BASE!F23="","",BASE!F23)</f>
        <v/>
      </c>
      <c r="G23" s="33">
        <f>IF(BASE!H23="","",BASE!H23)</f>
        <v/>
      </c>
      <c r="H23" s="33">
        <f>IF(BASE!I23="","",BASE!I23)</f>
        <v/>
      </c>
      <c r="I23" s="34">
        <f>IF(AND(ISNUMBER(G23),ISNUMBER(H23)),H23-G23,"")</f>
        <v/>
      </c>
      <c r="J23" s="35">
        <f>IF(AND(ISNUMBER(I23),G23&gt;0),I23/G23,"")</f>
        <v/>
      </c>
      <c r="K23" s="36">
        <f>BASE!Q23</f>
        <v/>
      </c>
      <c r="L23" s="37">
        <f>IF(BASE!C23="","",IF(BASE!H23="","PENDENTE: tempo padrão",IF(BASE!I23="","tempo real ausente (usa padrão)","")))</f>
        <v/>
      </c>
    </row>
    <row r="24">
      <c r="A24" s="11">
        <f>IF(BASE!A24="","",BASE!A24)</f>
        <v/>
      </c>
      <c r="B24" s="11">
        <f>IF(BASE!B24="","",BASE!B24)</f>
        <v/>
      </c>
      <c r="C24" s="11">
        <f>IF(BASE!C24="","",BASE!C24)</f>
        <v/>
      </c>
      <c r="D24" s="11">
        <f>IF(BASE!D24="","",BASE!D24)</f>
        <v/>
      </c>
      <c r="E24" s="11">
        <f>IF(BASE!E24="","",BASE!E24)</f>
        <v/>
      </c>
      <c r="F24" s="11">
        <f>IF(BASE!F24="","",BASE!F24)</f>
        <v/>
      </c>
      <c r="G24" s="33">
        <f>IF(BASE!H24="","",BASE!H24)</f>
        <v/>
      </c>
      <c r="H24" s="33">
        <f>IF(BASE!I24="","",BASE!I24)</f>
        <v/>
      </c>
      <c r="I24" s="34">
        <f>IF(AND(ISNUMBER(G24),ISNUMBER(H24)),H24-G24,"")</f>
        <v/>
      </c>
      <c r="J24" s="35">
        <f>IF(AND(ISNUMBER(I24),G24&gt;0),I24/G24,"")</f>
        <v/>
      </c>
      <c r="K24" s="36">
        <f>BASE!Q24</f>
        <v/>
      </c>
      <c r="L24" s="37">
        <f>IF(BASE!C24="","",IF(BASE!H24="","PENDENTE: tempo padrão",IF(BASE!I24="","tempo real ausente (usa padrão)","")))</f>
        <v/>
      </c>
    </row>
    <row r="25">
      <c r="A25" s="11">
        <f>IF(BASE!A25="","",BASE!A25)</f>
        <v/>
      </c>
      <c r="B25" s="11">
        <f>IF(BASE!B25="","",BASE!B25)</f>
        <v/>
      </c>
      <c r="C25" s="11">
        <f>IF(BASE!C25="","",BASE!C25)</f>
        <v/>
      </c>
      <c r="D25" s="11">
        <f>IF(BASE!D25="","",BASE!D25)</f>
        <v/>
      </c>
      <c r="E25" s="11">
        <f>IF(BASE!E25="","",BASE!E25)</f>
        <v/>
      </c>
      <c r="F25" s="11">
        <f>IF(BASE!F25="","",BASE!F25)</f>
        <v/>
      </c>
      <c r="G25" s="33">
        <f>IF(BASE!H25="","",BASE!H25)</f>
        <v/>
      </c>
      <c r="H25" s="33">
        <f>IF(BASE!I25="","",BASE!I25)</f>
        <v/>
      </c>
      <c r="I25" s="34">
        <f>IF(AND(ISNUMBER(G25),ISNUMBER(H25)),H25-G25,"")</f>
        <v/>
      </c>
      <c r="J25" s="35">
        <f>IF(AND(ISNUMBER(I25),G25&gt;0),I25/G25,"")</f>
        <v/>
      </c>
      <c r="K25" s="36">
        <f>BASE!Q25</f>
        <v/>
      </c>
      <c r="L25" s="37">
        <f>IF(BASE!C25="","",IF(BASE!H25="","PENDENTE: tempo padrão",IF(BASE!I25="","tempo real ausente (usa padrão)","")))</f>
        <v/>
      </c>
    </row>
    <row r="26">
      <c r="A26" s="11">
        <f>IF(BASE!A26="","",BASE!A26)</f>
        <v/>
      </c>
      <c r="B26" s="11">
        <f>IF(BASE!B26="","",BASE!B26)</f>
        <v/>
      </c>
      <c r="C26" s="11">
        <f>IF(BASE!C26="","",BASE!C26)</f>
        <v/>
      </c>
      <c r="D26" s="11">
        <f>IF(BASE!D26="","",BASE!D26)</f>
        <v/>
      </c>
      <c r="E26" s="11">
        <f>IF(BASE!E26="","",BASE!E26)</f>
        <v/>
      </c>
      <c r="F26" s="11">
        <f>IF(BASE!F26="","",BASE!F26)</f>
        <v/>
      </c>
      <c r="G26" s="33">
        <f>IF(BASE!H26="","",BASE!H26)</f>
        <v/>
      </c>
      <c r="H26" s="33">
        <f>IF(BASE!I26="","",BASE!I26)</f>
        <v/>
      </c>
      <c r="I26" s="34">
        <f>IF(AND(ISNUMBER(G26),ISNUMBER(H26)),H26-G26,"")</f>
        <v/>
      </c>
      <c r="J26" s="35">
        <f>IF(AND(ISNUMBER(I26),G26&gt;0),I26/G26,"")</f>
        <v/>
      </c>
      <c r="K26" s="36">
        <f>BASE!Q26</f>
        <v/>
      </c>
      <c r="L26" s="37">
        <f>IF(BASE!C26="","",IF(BASE!H26="","PENDENTE: tempo padrão",IF(BASE!I26="","tempo real ausente (usa padrão)","")))</f>
        <v/>
      </c>
    </row>
    <row r="27">
      <c r="A27" s="11">
        <f>IF(BASE!A27="","",BASE!A27)</f>
        <v/>
      </c>
      <c r="B27" s="11">
        <f>IF(BASE!B27="","",BASE!B27)</f>
        <v/>
      </c>
      <c r="C27" s="11">
        <f>IF(BASE!C27="","",BASE!C27)</f>
        <v/>
      </c>
      <c r="D27" s="11">
        <f>IF(BASE!D27="","",BASE!D27)</f>
        <v/>
      </c>
      <c r="E27" s="11">
        <f>IF(BASE!E27="","",BASE!E27)</f>
        <v/>
      </c>
      <c r="F27" s="11">
        <f>IF(BASE!F27="","",BASE!F27)</f>
        <v/>
      </c>
      <c r="G27" s="33">
        <f>IF(BASE!H27="","",BASE!H27)</f>
        <v/>
      </c>
      <c r="H27" s="33">
        <f>IF(BASE!I27="","",BASE!I27)</f>
        <v/>
      </c>
      <c r="I27" s="34">
        <f>IF(AND(ISNUMBER(G27),ISNUMBER(H27)),H27-G27,"")</f>
        <v/>
      </c>
      <c r="J27" s="35">
        <f>IF(AND(ISNUMBER(I27),G27&gt;0),I27/G27,"")</f>
        <v/>
      </c>
      <c r="K27" s="36">
        <f>BASE!Q27</f>
        <v/>
      </c>
      <c r="L27" s="37">
        <f>IF(BASE!C27="","",IF(BASE!H27="","PENDENTE: tempo padrão",IF(BASE!I27="","tempo real ausente (usa padrão)","")))</f>
        <v/>
      </c>
    </row>
    <row r="28">
      <c r="A28" s="11">
        <f>IF(BASE!A28="","",BASE!A28)</f>
        <v/>
      </c>
      <c r="B28" s="11">
        <f>IF(BASE!B28="","",BASE!B28)</f>
        <v/>
      </c>
      <c r="C28" s="11">
        <f>IF(BASE!C28="","",BASE!C28)</f>
        <v/>
      </c>
      <c r="D28" s="11">
        <f>IF(BASE!D28="","",BASE!D28)</f>
        <v/>
      </c>
      <c r="E28" s="11">
        <f>IF(BASE!E28="","",BASE!E28)</f>
        <v/>
      </c>
      <c r="F28" s="11">
        <f>IF(BASE!F28="","",BASE!F28)</f>
        <v/>
      </c>
      <c r="G28" s="33">
        <f>IF(BASE!H28="","",BASE!H28)</f>
        <v/>
      </c>
      <c r="H28" s="33">
        <f>IF(BASE!I28="","",BASE!I28)</f>
        <v/>
      </c>
      <c r="I28" s="34">
        <f>IF(AND(ISNUMBER(G28),ISNUMBER(H28)),H28-G28,"")</f>
        <v/>
      </c>
      <c r="J28" s="35">
        <f>IF(AND(ISNUMBER(I28),G28&gt;0),I28/G28,"")</f>
        <v/>
      </c>
      <c r="K28" s="36">
        <f>BASE!Q28</f>
        <v/>
      </c>
      <c r="L28" s="37">
        <f>IF(BASE!C28="","",IF(BASE!H28="","PENDENTE: tempo padrão",IF(BASE!I28="","tempo real ausente (usa padrão)","")))</f>
        <v/>
      </c>
    </row>
    <row r="29">
      <c r="A29" s="11">
        <f>IF(BASE!A29="","",BASE!A29)</f>
        <v/>
      </c>
      <c r="B29" s="11">
        <f>IF(BASE!B29="","",BASE!B29)</f>
        <v/>
      </c>
      <c r="C29" s="11">
        <f>IF(BASE!C29="","",BASE!C29)</f>
        <v/>
      </c>
      <c r="D29" s="11">
        <f>IF(BASE!D29="","",BASE!D29)</f>
        <v/>
      </c>
      <c r="E29" s="11">
        <f>IF(BASE!E29="","",BASE!E29)</f>
        <v/>
      </c>
      <c r="F29" s="11">
        <f>IF(BASE!F29="","",BASE!F29)</f>
        <v/>
      </c>
      <c r="G29" s="33">
        <f>IF(BASE!H29="","",BASE!H29)</f>
        <v/>
      </c>
      <c r="H29" s="33">
        <f>IF(BASE!I29="","",BASE!I29)</f>
        <v/>
      </c>
      <c r="I29" s="34">
        <f>IF(AND(ISNUMBER(G29),ISNUMBER(H29)),H29-G29,"")</f>
        <v/>
      </c>
      <c r="J29" s="35">
        <f>IF(AND(ISNUMBER(I29),G29&gt;0),I29/G29,"")</f>
        <v/>
      </c>
      <c r="K29" s="36">
        <f>BASE!Q29</f>
        <v/>
      </c>
      <c r="L29" s="37">
        <f>IF(BASE!C29="","",IF(BASE!H29="","PENDENTE: tempo padrão",IF(BASE!I29="","tempo real ausente (usa padrão)","")))</f>
        <v/>
      </c>
    </row>
    <row r="30">
      <c r="A30" s="11">
        <f>IF(BASE!A30="","",BASE!A30)</f>
        <v/>
      </c>
      <c r="B30" s="11">
        <f>IF(BASE!B30="","",BASE!B30)</f>
        <v/>
      </c>
      <c r="C30" s="11">
        <f>IF(BASE!C30="","",BASE!C30)</f>
        <v/>
      </c>
      <c r="D30" s="11">
        <f>IF(BASE!D30="","",BASE!D30)</f>
        <v/>
      </c>
      <c r="E30" s="11">
        <f>IF(BASE!E30="","",BASE!E30)</f>
        <v/>
      </c>
      <c r="F30" s="11">
        <f>IF(BASE!F30="","",BASE!F30)</f>
        <v/>
      </c>
      <c r="G30" s="33">
        <f>IF(BASE!H30="","",BASE!H30)</f>
        <v/>
      </c>
      <c r="H30" s="33">
        <f>IF(BASE!I30="","",BASE!I30)</f>
        <v/>
      </c>
      <c r="I30" s="34">
        <f>IF(AND(ISNUMBER(G30),ISNUMBER(H30)),H30-G30,"")</f>
        <v/>
      </c>
      <c r="J30" s="35">
        <f>IF(AND(ISNUMBER(I30),G30&gt;0),I30/G30,"")</f>
        <v/>
      </c>
      <c r="K30" s="36">
        <f>BASE!Q30</f>
        <v/>
      </c>
      <c r="L30" s="37">
        <f>IF(BASE!C30="","",IF(BASE!H30="","PENDENTE: tempo padrão",IF(BASE!I30="","tempo real ausente (usa padrão)","")))</f>
        <v/>
      </c>
    </row>
    <row r="31">
      <c r="A31" s="11">
        <f>IF(BASE!A31="","",BASE!A31)</f>
        <v/>
      </c>
      <c r="B31" s="11">
        <f>IF(BASE!B31="","",BASE!B31)</f>
        <v/>
      </c>
      <c r="C31" s="11">
        <f>IF(BASE!C31="","",BASE!C31)</f>
        <v/>
      </c>
      <c r="D31" s="11">
        <f>IF(BASE!D31="","",BASE!D31)</f>
        <v/>
      </c>
      <c r="E31" s="11">
        <f>IF(BASE!E31="","",BASE!E31)</f>
        <v/>
      </c>
      <c r="F31" s="11">
        <f>IF(BASE!F31="","",BASE!F31)</f>
        <v/>
      </c>
      <c r="G31" s="33">
        <f>IF(BASE!H31="","",BASE!H31)</f>
        <v/>
      </c>
      <c r="H31" s="33">
        <f>IF(BASE!I31="","",BASE!I31)</f>
        <v/>
      </c>
      <c r="I31" s="34">
        <f>IF(AND(ISNUMBER(G31),ISNUMBER(H31)),H31-G31,"")</f>
        <v/>
      </c>
      <c r="J31" s="35">
        <f>IF(AND(ISNUMBER(I31),G31&gt;0),I31/G31,"")</f>
        <v/>
      </c>
      <c r="K31" s="36">
        <f>BASE!Q31</f>
        <v/>
      </c>
      <c r="L31" s="37">
        <f>IF(BASE!C31="","",IF(BASE!H31="","PENDENTE: tempo padrão",IF(BASE!I31="","tempo real ausente (usa padrão)","")))</f>
        <v/>
      </c>
    </row>
    <row r="32">
      <c r="A32" s="11">
        <f>IF(BASE!A32="","",BASE!A32)</f>
        <v/>
      </c>
      <c r="B32" s="11">
        <f>IF(BASE!B32="","",BASE!B32)</f>
        <v/>
      </c>
      <c r="C32" s="11">
        <f>IF(BASE!C32="","",BASE!C32)</f>
        <v/>
      </c>
      <c r="D32" s="11">
        <f>IF(BASE!D32="","",BASE!D32)</f>
        <v/>
      </c>
      <c r="E32" s="11">
        <f>IF(BASE!E32="","",BASE!E32)</f>
        <v/>
      </c>
      <c r="F32" s="11">
        <f>IF(BASE!F32="","",BASE!F32)</f>
        <v/>
      </c>
      <c r="G32" s="33">
        <f>IF(BASE!H32="","",BASE!H32)</f>
        <v/>
      </c>
      <c r="H32" s="33">
        <f>IF(BASE!I32="","",BASE!I32)</f>
        <v/>
      </c>
      <c r="I32" s="34">
        <f>IF(AND(ISNUMBER(G32),ISNUMBER(H32)),H32-G32,"")</f>
        <v/>
      </c>
      <c r="J32" s="35">
        <f>IF(AND(ISNUMBER(I32),G32&gt;0),I32/G32,"")</f>
        <v/>
      </c>
      <c r="K32" s="36">
        <f>BASE!Q32</f>
        <v/>
      </c>
      <c r="L32" s="37">
        <f>IF(BASE!C32="","",IF(BASE!H32="","PENDENTE: tempo padrão",IF(BASE!I32="","tempo real ausente (usa padrão)","")))</f>
        <v/>
      </c>
    </row>
    <row r="33">
      <c r="A33" s="11">
        <f>IF(BASE!A33="","",BASE!A33)</f>
        <v/>
      </c>
      <c r="B33" s="11">
        <f>IF(BASE!B33="","",BASE!B33)</f>
        <v/>
      </c>
      <c r="C33" s="11">
        <f>IF(BASE!C33="","",BASE!C33)</f>
        <v/>
      </c>
      <c r="D33" s="11">
        <f>IF(BASE!D33="","",BASE!D33)</f>
        <v/>
      </c>
      <c r="E33" s="11">
        <f>IF(BASE!E33="","",BASE!E33)</f>
        <v/>
      </c>
      <c r="F33" s="11">
        <f>IF(BASE!F33="","",BASE!F33)</f>
        <v/>
      </c>
      <c r="G33" s="33">
        <f>IF(BASE!H33="","",BASE!H33)</f>
        <v/>
      </c>
      <c r="H33" s="33">
        <f>IF(BASE!I33="","",BASE!I33)</f>
        <v/>
      </c>
      <c r="I33" s="34">
        <f>IF(AND(ISNUMBER(G33),ISNUMBER(H33)),H33-G33,"")</f>
        <v/>
      </c>
      <c r="J33" s="35">
        <f>IF(AND(ISNUMBER(I33),G33&gt;0),I33/G33,"")</f>
        <v/>
      </c>
      <c r="K33" s="36">
        <f>BASE!Q33</f>
        <v/>
      </c>
      <c r="L33" s="37">
        <f>IF(BASE!C33="","",IF(BASE!H33="","PENDENTE: tempo padrão",IF(BASE!I33="","tempo real ausente (usa padrão)","")))</f>
        <v/>
      </c>
    </row>
    <row r="34">
      <c r="A34" s="11">
        <f>IF(BASE!A34="","",BASE!A34)</f>
        <v/>
      </c>
      <c r="B34" s="11">
        <f>IF(BASE!B34="","",BASE!B34)</f>
        <v/>
      </c>
      <c r="C34" s="11">
        <f>IF(BASE!C34="","",BASE!C34)</f>
        <v/>
      </c>
      <c r="D34" s="11">
        <f>IF(BASE!D34="","",BASE!D34)</f>
        <v/>
      </c>
      <c r="E34" s="11">
        <f>IF(BASE!E34="","",BASE!E34)</f>
        <v/>
      </c>
      <c r="F34" s="11">
        <f>IF(BASE!F34="","",BASE!F34)</f>
        <v/>
      </c>
      <c r="G34" s="33">
        <f>IF(BASE!H34="","",BASE!H34)</f>
        <v/>
      </c>
      <c r="H34" s="33">
        <f>IF(BASE!I34="","",BASE!I34)</f>
        <v/>
      </c>
      <c r="I34" s="34">
        <f>IF(AND(ISNUMBER(G34),ISNUMBER(H34)),H34-G34,"")</f>
        <v/>
      </c>
      <c r="J34" s="35">
        <f>IF(AND(ISNUMBER(I34),G34&gt;0),I34/G34,"")</f>
        <v/>
      </c>
      <c r="K34" s="36">
        <f>BASE!Q34</f>
        <v/>
      </c>
      <c r="L34" s="37">
        <f>IF(BASE!C34="","",IF(BASE!H34="","PENDENTE: tempo padrão",IF(BASE!I34="","tempo real ausente (usa padrão)","")))</f>
        <v/>
      </c>
    </row>
    <row r="35">
      <c r="A35" s="11">
        <f>IF(BASE!A35="","",BASE!A35)</f>
        <v/>
      </c>
      <c r="B35" s="11">
        <f>IF(BASE!B35="","",BASE!B35)</f>
        <v/>
      </c>
      <c r="C35" s="11">
        <f>IF(BASE!C35="","",BASE!C35)</f>
        <v/>
      </c>
      <c r="D35" s="11">
        <f>IF(BASE!D35="","",BASE!D35)</f>
        <v/>
      </c>
      <c r="E35" s="11">
        <f>IF(BASE!E35="","",BASE!E35)</f>
        <v/>
      </c>
      <c r="F35" s="11">
        <f>IF(BASE!F35="","",BASE!F35)</f>
        <v/>
      </c>
      <c r="G35" s="33">
        <f>IF(BASE!H35="","",BASE!H35)</f>
        <v/>
      </c>
      <c r="H35" s="33">
        <f>IF(BASE!I35="","",BASE!I35)</f>
        <v/>
      </c>
      <c r="I35" s="34">
        <f>IF(AND(ISNUMBER(G35),ISNUMBER(H35)),H35-G35,"")</f>
        <v/>
      </c>
      <c r="J35" s="35">
        <f>IF(AND(ISNUMBER(I35),G35&gt;0),I35/G35,"")</f>
        <v/>
      </c>
      <c r="K35" s="36">
        <f>BASE!Q35</f>
        <v/>
      </c>
      <c r="L35" s="37">
        <f>IF(BASE!C35="","",IF(BASE!H35="","PENDENTE: tempo padrão",IF(BASE!I35="","tempo real ausente (usa padrão)","")))</f>
        <v/>
      </c>
    </row>
    <row r="36">
      <c r="A36" s="11">
        <f>IF(BASE!A36="","",BASE!A36)</f>
        <v/>
      </c>
      <c r="B36" s="11">
        <f>IF(BASE!B36="","",BASE!B36)</f>
        <v/>
      </c>
      <c r="C36" s="11">
        <f>IF(BASE!C36="","",BASE!C36)</f>
        <v/>
      </c>
      <c r="D36" s="11">
        <f>IF(BASE!D36="","",BASE!D36)</f>
        <v/>
      </c>
      <c r="E36" s="11">
        <f>IF(BASE!E36="","",BASE!E36)</f>
        <v/>
      </c>
      <c r="F36" s="11">
        <f>IF(BASE!F36="","",BASE!F36)</f>
        <v/>
      </c>
      <c r="G36" s="33">
        <f>IF(BASE!H36="","",BASE!H36)</f>
        <v/>
      </c>
      <c r="H36" s="33">
        <f>IF(BASE!I36="","",BASE!I36)</f>
        <v/>
      </c>
      <c r="I36" s="34">
        <f>IF(AND(ISNUMBER(G36),ISNUMBER(H36)),H36-G36,"")</f>
        <v/>
      </c>
      <c r="J36" s="35">
        <f>IF(AND(ISNUMBER(I36),G36&gt;0),I36/G36,"")</f>
        <v/>
      </c>
      <c r="K36" s="36">
        <f>BASE!Q36</f>
        <v/>
      </c>
      <c r="L36" s="37">
        <f>IF(BASE!C36="","",IF(BASE!H36="","PENDENTE: tempo padrão",IF(BASE!I36="","tempo real ausente (usa padrão)","")))</f>
        <v/>
      </c>
    </row>
    <row r="37">
      <c r="A37" s="11">
        <f>IF(BASE!A37="","",BASE!A37)</f>
        <v/>
      </c>
      <c r="B37" s="11">
        <f>IF(BASE!B37="","",BASE!B37)</f>
        <v/>
      </c>
      <c r="C37" s="11">
        <f>IF(BASE!C37="","",BASE!C37)</f>
        <v/>
      </c>
      <c r="D37" s="11">
        <f>IF(BASE!D37="","",BASE!D37)</f>
        <v/>
      </c>
      <c r="E37" s="11">
        <f>IF(BASE!E37="","",BASE!E37)</f>
        <v/>
      </c>
      <c r="F37" s="11">
        <f>IF(BASE!F37="","",BASE!F37)</f>
        <v/>
      </c>
      <c r="G37" s="33">
        <f>IF(BASE!H37="","",BASE!H37)</f>
        <v/>
      </c>
      <c r="H37" s="33">
        <f>IF(BASE!I37="","",BASE!I37)</f>
        <v/>
      </c>
      <c r="I37" s="34">
        <f>IF(AND(ISNUMBER(G37),ISNUMBER(H37)),H37-G37,"")</f>
        <v/>
      </c>
      <c r="J37" s="35">
        <f>IF(AND(ISNUMBER(I37),G37&gt;0),I37/G37,"")</f>
        <v/>
      </c>
      <c r="K37" s="36">
        <f>BASE!Q37</f>
        <v/>
      </c>
      <c r="L37" s="37">
        <f>IF(BASE!C37="","",IF(BASE!H37="","PENDENTE: tempo padrão",IF(BASE!I37="","tempo real ausente (usa padrão)","")))</f>
        <v/>
      </c>
    </row>
    <row r="38">
      <c r="A38" s="11">
        <f>IF(BASE!A38="","",BASE!A38)</f>
        <v/>
      </c>
      <c r="B38" s="11">
        <f>IF(BASE!B38="","",BASE!B38)</f>
        <v/>
      </c>
      <c r="C38" s="11">
        <f>IF(BASE!C38="","",BASE!C38)</f>
        <v/>
      </c>
      <c r="D38" s="11">
        <f>IF(BASE!D38="","",BASE!D38)</f>
        <v/>
      </c>
      <c r="E38" s="11">
        <f>IF(BASE!E38="","",BASE!E38)</f>
        <v/>
      </c>
      <c r="F38" s="11">
        <f>IF(BASE!F38="","",BASE!F38)</f>
        <v/>
      </c>
      <c r="G38" s="33">
        <f>IF(BASE!H38="","",BASE!H38)</f>
        <v/>
      </c>
      <c r="H38" s="33">
        <f>IF(BASE!I38="","",BASE!I38)</f>
        <v/>
      </c>
      <c r="I38" s="34">
        <f>IF(AND(ISNUMBER(G38),ISNUMBER(H38)),H38-G38,"")</f>
        <v/>
      </c>
      <c r="J38" s="35">
        <f>IF(AND(ISNUMBER(I38),G38&gt;0),I38/G38,"")</f>
        <v/>
      </c>
      <c r="K38" s="36">
        <f>BASE!Q38</f>
        <v/>
      </c>
      <c r="L38" s="37">
        <f>IF(BASE!C38="","",IF(BASE!H38="","PENDENTE: tempo padrão",IF(BASE!I38="","tempo real ausente (usa padrão)","")))</f>
        <v/>
      </c>
    </row>
    <row r="39">
      <c r="A39" s="11">
        <f>IF(BASE!A39="","",BASE!A39)</f>
        <v/>
      </c>
      <c r="B39" s="11">
        <f>IF(BASE!B39="","",BASE!B39)</f>
        <v/>
      </c>
      <c r="C39" s="11">
        <f>IF(BASE!C39="","",BASE!C39)</f>
        <v/>
      </c>
      <c r="D39" s="11">
        <f>IF(BASE!D39="","",BASE!D39)</f>
        <v/>
      </c>
      <c r="E39" s="11">
        <f>IF(BASE!E39="","",BASE!E39)</f>
        <v/>
      </c>
      <c r="F39" s="11">
        <f>IF(BASE!F39="","",BASE!F39)</f>
        <v/>
      </c>
      <c r="G39" s="33">
        <f>IF(BASE!H39="","",BASE!H39)</f>
        <v/>
      </c>
      <c r="H39" s="33">
        <f>IF(BASE!I39="","",BASE!I39)</f>
        <v/>
      </c>
      <c r="I39" s="34">
        <f>IF(AND(ISNUMBER(G39),ISNUMBER(H39)),H39-G39,"")</f>
        <v/>
      </c>
      <c r="J39" s="35">
        <f>IF(AND(ISNUMBER(I39),G39&gt;0),I39/G39,"")</f>
        <v/>
      </c>
      <c r="K39" s="36">
        <f>BASE!Q39</f>
        <v/>
      </c>
      <c r="L39" s="37">
        <f>IF(BASE!C39="","",IF(BASE!H39="","PENDENTE: tempo padrão",IF(BASE!I39="","tempo real ausente (usa padrão)","")))</f>
        <v/>
      </c>
    </row>
    <row r="40">
      <c r="A40" s="11">
        <f>IF(BASE!A40="","",BASE!A40)</f>
        <v/>
      </c>
      <c r="B40" s="11">
        <f>IF(BASE!B40="","",BASE!B40)</f>
        <v/>
      </c>
      <c r="C40" s="11">
        <f>IF(BASE!C40="","",BASE!C40)</f>
        <v/>
      </c>
      <c r="D40" s="11">
        <f>IF(BASE!D40="","",BASE!D40)</f>
        <v/>
      </c>
      <c r="E40" s="11">
        <f>IF(BASE!E40="","",BASE!E40)</f>
        <v/>
      </c>
      <c r="F40" s="11">
        <f>IF(BASE!F40="","",BASE!F40)</f>
        <v/>
      </c>
      <c r="G40" s="33">
        <f>IF(BASE!H40="","",BASE!H40)</f>
        <v/>
      </c>
      <c r="H40" s="33">
        <f>IF(BASE!I40="","",BASE!I40)</f>
        <v/>
      </c>
      <c r="I40" s="34">
        <f>IF(AND(ISNUMBER(G40),ISNUMBER(H40)),H40-G40,"")</f>
        <v/>
      </c>
      <c r="J40" s="35">
        <f>IF(AND(ISNUMBER(I40),G40&gt;0),I40/G40,"")</f>
        <v/>
      </c>
      <c r="K40" s="36">
        <f>BASE!Q40</f>
        <v/>
      </c>
      <c r="L40" s="37">
        <f>IF(BASE!C40="","",IF(BASE!H40="","PENDENTE: tempo padrão",IF(BASE!I40="","tempo real ausente (usa padrão)","")))</f>
        <v/>
      </c>
    </row>
    <row r="41">
      <c r="A41" s="11">
        <f>IF(BASE!A41="","",BASE!A41)</f>
        <v/>
      </c>
      <c r="B41" s="11">
        <f>IF(BASE!B41="","",BASE!B41)</f>
        <v/>
      </c>
      <c r="C41" s="11">
        <f>IF(BASE!C41="","",BASE!C41)</f>
        <v/>
      </c>
      <c r="D41" s="11">
        <f>IF(BASE!D41="","",BASE!D41)</f>
        <v/>
      </c>
      <c r="E41" s="11">
        <f>IF(BASE!E41="","",BASE!E41)</f>
        <v/>
      </c>
      <c r="F41" s="11">
        <f>IF(BASE!F41="","",BASE!F41)</f>
        <v/>
      </c>
      <c r="G41" s="33">
        <f>IF(BASE!H41="","",BASE!H41)</f>
        <v/>
      </c>
      <c r="H41" s="33">
        <f>IF(BASE!I41="","",BASE!I41)</f>
        <v/>
      </c>
      <c r="I41" s="34">
        <f>IF(AND(ISNUMBER(G41),ISNUMBER(H41)),H41-G41,"")</f>
        <v/>
      </c>
      <c r="J41" s="35">
        <f>IF(AND(ISNUMBER(I41),G41&gt;0),I41/G41,"")</f>
        <v/>
      </c>
      <c r="K41" s="36">
        <f>BASE!Q41</f>
        <v/>
      </c>
      <c r="L41" s="37">
        <f>IF(BASE!C41="","",IF(BASE!H41="","PENDENTE: tempo padrão",IF(BASE!I41="","tempo real ausente (usa padrão)","")))</f>
        <v/>
      </c>
    </row>
    <row r="42">
      <c r="A42" s="11">
        <f>IF(BASE!A42="","",BASE!A42)</f>
        <v/>
      </c>
      <c r="B42" s="11">
        <f>IF(BASE!B42="","",BASE!B42)</f>
        <v/>
      </c>
      <c r="C42" s="11">
        <f>IF(BASE!C42="","",BASE!C42)</f>
        <v/>
      </c>
      <c r="D42" s="11">
        <f>IF(BASE!D42="","",BASE!D42)</f>
        <v/>
      </c>
      <c r="E42" s="11">
        <f>IF(BASE!E42="","",BASE!E42)</f>
        <v/>
      </c>
      <c r="F42" s="11">
        <f>IF(BASE!F42="","",BASE!F42)</f>
        <v/>
      </c>
      <c r="G42" s="33">
        <f>IF(BASE!H42="","",BASE!H42)</f>
        <v/>
      </c>
      <c r="H42" s="33">
        <f>IF(BASE!I42="","",BASE!I42)</f>
        <v/>
      </c>
      <c r="I42" s="34">
        <f>IF(AND(ISNUMBER(G42),ISNUMBER(H42)),H42-G42,"")</f>
        <v/>
      </c>
      <c r="J42" s="35">
        <f>IF(AND(ISNUMBER(I42),G42&gt;0),I42/G42,"")</f>
        <v/>
      </c>
      <c r="K42" s="36">
        <f>BASE!Q42</f>
        <v/>
      </c>
      <c r="L42" s="37">
        <f>IF(BASE!C42="","",IF(BASE!H42="","PENDENTE: tempo padrão",IF(BASE!I42="","tempo real ausente (usa padrão)","")))</f>
        <v/>
      </c>
    </row>
    <row r="43">
      <c r="A43" s="11">
        <f>IF(BASE!A43="","",BASE!A43)</f>
        <v/>
      </c>
      <c r="B43" s="11">
        <f>IF(BASE!B43="","",BASE!B43)</f>
        <v/>
      </c>
      <c r="C43" s="11">
        <f>IF(BASE!C43="","",BASE!C43)</f>
        <v/>
      </c>
      <c r="D43" s="11">
        <f>IF(BASE!D43="","",BASE!D43)</f>
        <v/>
      </c>
      <c r="E43" s="11">
        <f>IF(BASE!E43="","",BASE!E43)</f>
        <v/>
      </c>
      <c r="F43" s="11">
        <f>IF(BASE!F43="","",BASE!F43)</f>
        <v/>
      </c>
      <c r="G43" s="33">
        <f>IF(BASE!H43="","",BASE!H43)</f>
        <v/>
      </c>
      <c r="H43" s="33">
        <f>IF(BASE!I43="","",BASE!I43)</f>
        <v/>
      </c>
      <c r="I43" s="34">
        <f>IF(AND(ISNUMBER(G43),ISNUMBER(H43)),H43-G43,"")</f>
        <v/>
      </c>
      <c r="J43" s="35">
        <f>IF(AND(ISNUMBER(I43),G43&gt;0),I43/G43,"")</f>
        <v/>
      </c>
      <c r="K43" s="36">
        <f>BASE!Q43</f>
        <v/>
      </c>
      <c r="L43" s="37">
        <f>IF(BASE!C43="","",IF(BASE!H43="","PENDENTE: tempo padrão",IF(BASE!I43="","tempo real ausente (usa padrão)","")))</f>
        <v/>
      </c>
    </row>
    <row r="44">
      <c r="A44" s="11">
        <f>IF(BASE!A44="","",BASE!A44)</f>
        <v/>
      </c>
      <c r="B44" s="11">
        <f>IF(BASE!B44="","",BASE!B44)</f>
        <v/>
      </c>
      <c r="C44" s="11">
        <f>IF(BASE!C44="","",BASE!C44)</f>
        <v/>
      </c>
      <c r="D44" s="11">
        <f>IF(BASE!D44="","",BASE!D44)</f>
        <v/>
      </c>
      <c r="E44" s="11">
        <f>IF(BASE!E44="","",BASE!E44)</f>
        <v/>
      </c>
      <c r="F44" s="11">
        <f>IF(BASE!F44="","",BASE!F44)</f>
        <v/>
      </c>
      <c r="G44" s="33">
        <f>IF(BASE!H44="","",BASE!H44)</f>
        <v/>
      </c>
      <c r="H44" s="33">
        <f>IF(BASE!I44="","",BASE!I44)</f>
        <v/>
      </c>
      <c r="I44" s="34">
        <f>IF(AND(ISNUMBER(G44),ISNUMBER(H44)),H44-G44,"")</f>
        <v/>
      </c>
      <c r="J44" s="35">
        <f>IF(AND(ISNUMBER(I44),G44&gt;0),I44/G44,"")</f>
        <v/>
      </c>
      <c r="K44" s="36">
        <f>BASE!Q44</f>
        <v/>
      </c>
      <c r="L44" s="37">
        <f>IF(BASE!C44="","",IF(BASE!H44="","PENDENTE: tempo padrão",IF(BASE!I44="","tempo real ausente (usa padrão)","")))</f>
        <v/>
      </c>
    </row>
    <row r="45">
      <c r="A45" s="11">
        <f>IF(BASE!A45="","",BASE!A45)</f>
        <v/>
      </c>
      <c r="B45" s="11">
        <f>IF(BASE!B45="","",BASE!B45)</f>
        <v/>
      </c>
      <c r="C45" s="11">
        <f>IF(BASE!C45="","",BASE!C45)</f>
        <v/>
      </c>
      <c r="D45" s="11">
        <f>IF(BASE!D45="","",BASE!D45)</f>
        <v/>
      </c>
      <c r="E45" s="11">
        <f>IF(BASE!E45="","",BASE!E45)</f>
        <v/>
      </c>
      <c r="F45" s="11">
        <f>IF(BASE!F45="","",BASE!F45)</f>
        <v/>
      </c>
      <c r="G45" s="33">
        <f>IF(BASE!H45="","",BASE!H45)</f>
        <v/>
      </c>
      <c r="H45" s="33">
        <f>IF(BASE!I45="","",BASE!I45)</f>
        <v/>
      </c>
      <c r="I45" s="34">
        <f>IF(AND(ISNUMBER(G45),ISNUMBER(H45)),H45-G45,"")</f>
        <v/>
      </c>
      <c r="J45" s="35">
        <f>IF(AND(ISNUMBER(I45),G45&gt;0),I45/G45,"")</f>
        <v/>
      </c>
      <c r="K45" s="36">
        <f>BASE!Q45</f>
        <v/>
      </c>
      <c r="L45" s="37">
        <f>IF(BASE!C45="","",IF(BASE!H45="","PENDENTE: tempo padrão",IF(BASE!I45="","tempo real ausente (usa padrão)","")))</f>
        <v/>
      </c>
    </row>
    <row r="46">
      <c r="A46" s="11">
        <f>IF(BASE!A46="","",BASE!A46)</f>
        <v/>
      </c>
      <c r="B46" s="11">
        <f>IF(BASE!B46="","",BASE!B46)</f>
        <v/>
      </c>
      <c r="C46" s="11">
        <f>IF(BASE!C46="","",BASE!C46)</f>
        <v/>
      </c>
      <c r="D46" s="11">
        <f>IF(BASE!D46="","",BASE!D46)</f>
        <v/>
      </c>
      <c r="E46" s="11">
        <f>IF(BASE!E46="","",BASE!E46)</f>
        <v/>
      </c>
      <c r="F46" s="11">
        <f>IF(BASE!F46="","",BASE!F46)</f>
        <v/>
      </c>
      <c r="G46" s="33">
        <f>IF(BASE!H46="","",BASE!H46)</f>
        <v/>
      </c>
      <c r="H46" s="33">
        <f>IF(BASE!I46="","",BASE!I46)</f>
        <v/>
      </c>
      <c r="I46" s="34">
        <f>IF(AND(ISNUMBER(G46),ISNUMBER(H46)),H46-G46,"")</f>
        <v/>
      </c>
      <c r="J46" s="35">
        <f>IF(AND(ISNUMBER(I46),G46&gt;0),I46/G46,"")</f>
        <v/>
      </c>
      <c r="K46" s="36">
        <f>BASE!Q46</f>
        <v/>
      </c>
      <c r="L46" s="37">
        <f>IF(BASE!C46="","",IF(BASE!H46="","PENDENTE: tempo padrão",IF(BASE!I46="","tempo real ausente (usa padrão)","")))</f>
        <v/>
      </c>
    </row>
    <row r="47">
      <c r="A47" s="11">
        <f>IF(BASE!A47="","",BASE!A47)</f>
        <v/>
      </c>
      <c r="B47" s="11">
        <f>IF(BASE!B47="","",BASE!B47)</f>
        <v/>
      </c>
      <c r="C47" s="11">
        <f>IF(BASE!C47="","",BASE!C47)</f>
        <v/>
      </c>
      <c r="D47" s="11">
        <f>IF(BASE!D47="","",BASE!D47)</f>
        <v/>
      </c>
      <c r="E47" s="11">
        <f>IF(BASE!E47="","",BASE!E47)</f>
        <v/>
      </c>
      <c r="F47" s="11">
        <f>IF(BASE!F47="","",BASE!F47)</f>
        <v/>
      </c>
      <c r="G47" s="33">
        <f>IF(BASE!H47="","",BASE!H47)</f>
        <v/>
      </c>
      <c r="H47" s="33">
        <f>IF(BASE!I47="","",BASE!I47)</f>
        <v/>
      </c>
      <c r="I47" s="34">
        <f>IF(AND(ISNUMBER(G47),ISNUMBER(H47)),H47-G47,"")</f>
        <v/>
      </c>
      <c r="J47" s="35">
        <f>IF(AND(ISNUMBER(I47),G47&gt;0),I47/G47,"")</f>
        <v/>
      </c>
      <c r="K47" s="36">
        <f>BASE!Q47</f>
        <v/>
      </c>
      <c r="L47" s="37">
        <f>IF(BASE!C47="","",IF(BASE!H47="","PENDENTE: tempo padrão",IF(BASE!I47="","tempo real ausente (usa padrão)","")))</f>
        <v/>
      </c>
    </row>
    <row r="48">
      <c r="A48" s="11">
        <f>IF(BASE!A48="","",BASE!A48)</f>
        <v/>
      </c>
      <c r="B48" s="11">
        <f>IF(BASE!B48="","",BASE!B48)</f>
        <v/>
      </c>
      <c r="C48" s="11">
        <f>IF(BASE!C48="","",BASE!C48)</f>
        <v/>
      </c>
      <c r="D48" s="11">
        <f>IF(BASE!D48="","",BASE!D48)</f>
        <v/>
      </c>
      <c r="E48" s="11">
        <f>IF(BASE!E48="","",BASE!E48)</f>
        <v/>
      </c>
      <c r="F48" s="11">
        <f>IF(BASE!F48="","",BASE!F48)</f>
        <v/>
      </c>
      <c r="G48" s="33">
        <f>IF(BASE!H48="","",BASE!H48)</f>
        <v/>
      </c>
      <c r="H48" s="33">
        <f>IF(BASE!I48="","",BASE!I48)</f>
        <v/>
      </c>
      <c r="I48" s="34">
        <f>IF(AND(ISNUMBER(G48),ISNUMBER(H48)),H48-G48,"")</f>
        <v/>
      </c>
      <c r="J48" s="35">
        <f>IF(AND(ISNUMBER(I48),G48&gt;0),I48/G48,"")</f>
        <v/>
      </c>
      <c r="K48" s="36">
        <f>BASE!Q48</f>
        <v/>
      </c>
      <c r="L48" s="37">
        <f>IF(BASE!C48="","",IF(BASE!H48="","PENDENTE: tempo padrão",IF(BASE!I48="","tempo real ausente (usa padrão)","")))</f>
        <v/>
      </c>
    </row>
    <row r="49">
      <c r="A49" s="11">
        <f>IF(BASE!A49="","",BASE!A49)</f>
        <v/>
      </c>
      <c r="B49" s="11">
        <f>IF(BASE!B49="","",BASE!B49)</f>
        <v/>
      </c>
      <c r="C49" s="11">
        <f>IF(BASE!C49="","",BASE!C49)</f>
        <v/>
      </c>
      <c r="D49" s="11">
        <f>IF(BASE!D49="","",BASE!D49)</f>
        <v/>
      </c>
      <c r="E49" s="11">
        <f>IF(BASE!E49="","",BASE!E49)</f>
        <v/>
      </c>
      <c r="F49" s="11">
        <f>IF(BASE!F49="","",BASE!F49)</f>
        <v/>
      </c>
      <c r="G49" s="33">
        <f>IF(BASE!H49="","",BASE!H49)</f>
        <v/>
      </c>
      <c r="H49" s="33">
        <f>IF(BASE!I49="","",BASE!I49)</f>
        <v/>
      </c>
      <c r="I49" s="34">
        <f>IF(AND(ISNUMBER(G49),ISNUMBER(H49)),H49-G49,"")</f>
        <v/>
      </c>
      <c r="J49" s="35">
        <f>IF(AND(ISNUMBER(I49),G49&gt;0),I49/G49,"")</f>
        <v/>
      </c>
      <c r="K49" s="36">
        <f>BASE!Q49</f>
        <v/>
      </c>
      <c r="L49" s="37">
        <f>IF(BASE!C49="","",IF(BASE!H49="","PENDENTE: tempo padrão",IF(BASE!I49="","tempo real ausente (usa padrão)","")))</f>
        <v/>
      </c>
    </row>
    <row r="50">
      <c r="A50" s="11">
        <f>IF(BASE!A50="","",BASE!A50)</f>
        <v/>
      </c>
      <c r="B50" s="11">
        <f>IF(BASE!B50="","",BASE!B50)</f>
        <v/>
      </c>
      <c r="C50" s="11">
        <f>IF(BASE!C50="","",BASE!C50)</f>
        <v/>
      </c>
      <c r="D50" s="11">
        <f>IF(BASE!D50="","",BASE!D50)</f>
        <v/>
      </c>
      <c r="E50" s="11">
        <f>IF(BASE!E50="","",BASE!E50)</f>
        <v/>
      </c>
      <c r="F50" s="11">
        <f>IF(BASE!F50="","",BASE!F50)</f>
        <v/>
      </c>
      <c r="G50" s="33">
        <f>IF(BASE!H50="","",BASE!H50)</f>
        <v/>
      </c>
      <c r="H50" s="33">
        <f>IF(BASE!I50="","",BASE!I50)</f>
        <v/>
      </c>
      <c r="I50" s="34">
        <f>IF(AND(ISNUMBER(G50),ISNUMBER(H50)),H50-G50,"")</f>
        <v/>
      </c>
      <c r="J50" s="35">
        <f>IF(AND(ISNUMBER(I50),G50&gt;0),I50/G50,"")</f>
        <v/>
      </c>
      <c r="K50" s="36">
        <f>BASE!Q50</f>
        <v/>
      </c>
      <c r="L50" s="37">
        <f>IF(BASE!C50="","",IF(BASE!H50="","PENDENTE: tempo padrão",IF(BASE!I50="","tempo real ausente (usa padrão)","")))</f>
        <v/>
      </c>
    </row>
    <row r="51">
      <c r="A51" s="11">
        <f>IF(BASE!A51="","",BASE!A51)</f>
        <v/>
      </c>
      <c r="B51" s="11">
        <f>IF(BASE!B51="","",BASE!B51)</f>
        <v/>
      </c>
      <c r="C51" s="11">
        <f>IF(BASE!C51="","",BASE!C51)</f>
        <v/>
      </c>
      <c r="D51" s="11">
        <f>IF(BASE!D51="","",BASE!D51)</f>
        <v/>
      </c>
      <c r="E51" s="11">
        <f>IF(BASE!E51="","",BASE!E51)</f>
        <v/>
      </c>
      <c r="F51" s="11">
        <f>IF(BASE!F51="","",BASE!F51)</f>
        <v/>
      </c>
      <c r="G51" s="33">
        <f>IF(BASE!H51="","",BASE!H51)</f>
        <v/>
      </c>
      <c r="H51" s="33">
        <f>IF(BASE!I51="","",BASE!I51)</f>
        <v/>
      </c>
      <c r="I51" s="34">
        <f>IF(AND(ISNUMBER(G51),ISNUMBER(H51)),H51-G51,"")</f>
        <v/>
      </c>
      <c r="J51" s="35">
        <f>IF(AND(ISNUMBER(I51),G51&gt;0),I51/G51,"")</f>
        <v/>
      </c>
      <c r="K51" s="36">
        <f>BASE!Q51</f>
        <v/>
      </c>
      <c r="L51" s="37">
        <f>IF(BASE!C51="","",IF(BASE!H51="","PENDENTE: tempo padrão",IF(BASE!I51="","tempo real ausente (usa padrão)","")))</f>
        <v/>
      </c>
    </row>
    <row r="52">
      <c r="A52" s="11">
        <f>IF(BASE!A52="","",BASE!A52)</f>
        <v/>
      </c>
      <c r="B52" s="11">
        <f>IF(BASE!B52="","",BASE!B52)</f>
        <v/>
      </c>
      <c r="C52" s="11">
        <f>IF(BASE!C52="","",BASE!C52)</f>
        <v/>
      </c>
      <c r="D52" s="11">
        <f>IF(BASE!D52="","",BASE!D52)</f>
        <v/>
      </c>
      <c r="E52" s="11">
        <f>IF(BASE!E52="","",BASE!E52)</f>
        <v/>
      </c>
      <c r="F52" s="11">
        <f>IF(BASE!F52="","",BASE!F52)</f>
        <v/>
      </c>
      <c r="G52" s="33">
        <f>IF(BASE!H52="","",BASE!H52)</f>
        <v/>
      </c>
      <c r="H52" s="33">
        <f>IF(BASE!I52="","",BASE!I52)</f>
        <v/>
      </c>
      <c r="I52" s="34">
        <f>IF(AND(ISNUMBER(G52),ISNUMBER(H52)),H52-G52,"")</f>
        <v/>
      </c>
      <c r="J52" s="35">
        <f>IF(AND(ISNUMBER(I52),G52&gt;0),I52/G52,"")</f>
        <v/>
      </c>
      <c r="K52" s="36">
        <f>BASE!Q52</f>
        <v/>
      </c>
      <c r="L52" s="37">
        <f>IF(BASE!C52="","",IF(BASE!H52="","PENDENTE: tempo padrão",IF(BASE!I52="","tempo real ausente (usa padrão)","")))</f>
        <v/>
      </c>
    </row>
    <row r="53">
      <c r="A53" s="11">
        <f>IF(BASE!A53="","",BASE!A53)</f>
        <v/>
      </c>
      <c r="B53" s="11">
        <f>IF(BASE!B53="","",BASE!B53)</f>
        <v/>
      </c>
      <c r="C53" s="11">
        <f>IF(BASE!C53="","",BASE!C53)</f>
        <v/>
      </c>
      <c r="D53" s="11">
        <f>IF(BASE!D53="","",BASE!D53)</f>
        <v/>
      </c>
      <c r="E53" s="11">
        <f>IF(BASE!E53="","",BASE!E53)</f>
        <v/>
      </c>
      <c r="F53" s="11">
        <f>IF(BASE!F53="","",BASE!F53)</f>
        <v/>
      </c>
      <c r="G53" s="33">
        <f>IF(BASE!H53="","",BASE!H53)</f>
        <v/>
      </c>
      <c r="H53" s="33">
        <f>IF(BASE!I53="","",BASE!I53)</f>
        <v/>
      </c>
      <c r="I53" s="34">
        <f>IF(AND(ISNUMBER(G53),ISNUMBER(H53)),H53-G53,"")</f>
        <v/>
      </c>
      <c r="J53" s="35">
        <f>IF(AND(ISNUMBER(I53),G53&gt;0),I53/G53,"")</f>
        <v/>
      </c>
      <c r="K53" s="36">
        <f>BASE!Q53</f>
        <v/>
      </c>
      <c r="L53" s="37">
        <f>IF(BASE!C53="","",IF(BASE!H53="","PENDENTE: tempo padrão",IF(BASE!I53="","tempo real ausente (usa padrão)","")))</f>
        <v/>
      </c>
    </row>
    <row r="54">
      <c r="A54" s="11">
        <f>IF(BASE!A54="","",BASE!A54)</f>
        <v/>
      </c>
      <c r="B54" s="11">
        <f>IF(BASE!B54="","",BASE!B54)</f>
        <v/>
      </c>
      <c r="C54" s="11">
        <f>IF(BASE!C54="","",BASE!C54)</f>
        <v/>
      </c>
      <c r="D54" s="11">
        <f>IF(BASE!D54="","",BASE!D54)</f>
        <v/>
      </c>
      <c r="E54" s="11">
        <f>IF(BASE!E54="","",BASE!E54)</f>
        <v/>
      </c>
      <c r="F54" s="11">
        <f>IF(BASE!F54="","",BASE!F54)</f>
        <v/>
      </c>
      <c r="G54" s="33">
        <f>IF(BASE!H54="","",BASE!H54)</f>
        <v/>
      </c>
      <c r="H54" s="33">
        <f>IF(BASE!I54="","",BASE!I54)</f>
        <v/>
      </c>
      <c r="I54" s="34">
        <f>IF(AND(ISNUMBER(G54),ISNUMBER(H54)),H54-G54,"")</f>
        <v/>
      </c>
      <c r="J54" s="35">
        <f>IF(AND(ISNUMBER(I54),G54&gt;0),I54/G54,"")</f>
        <v/>
      </c>
      <c r="K54" s="36">
        <f>BASE!Q54</f>
        <v/>
      </c>
      <c r="L54" s="37">
        <f>IF(BASE!C54="","",IF(BASE!H54="","PENDENTE: tempo padrão",IF(BASE!I54="","tempo real ausente (usa padrão)","")))</f>
        <v/>
      </c>
    </row>
    <row r="55">
      <c r="A55" s="11">
        <f>IF(BASE!A55="","",BASE!A55)</f>
        <v/>
      </c>
      <c r="B55" s="11">
        <f>IF(BASE!B55="","",BASE!B55)</f>
        <v/>
      </c>
      <c r="C55" s="11">
        <f>IF(BASE!C55="","",BASE!C55)</f>
        <v/>
      </c>
      <c r="D55" s="11">
        <f>IF(BASE!D55="","",BASE!D55)</f>
        <v/>
      </c>
      <c r="E55" s="11">
        <f>IF(BASE!E55="","",BASE!E55)</f>
        <v/>
      </c>
      <c r="F55" s="11">
        <f>IF(BASE!F55="","",BASE!F55)</f>
        <v/>
      </c>
      <c r="G55" s="33">
        <f>IF(BASE!H55="","",BASE!H55)</f>
        <v/>
      </c>
      <c r="H55" s="33">
        <f>IF(BASE!I55="","",BASE!I55)</f>
        <v/>
      </c>
      <c r="I55" s="34">
        <f>IF(AND(ISNUMBER(G55),ISNUMBER(H55)),H55-G55,"")</f>
        <v/>
      </c>
      <c r="J55" s="35">
        <f>IF(AND(ISNUMBER(I55),G55&gt;0),I55/G55,"")</f>
        <v/>
      </c>
      <c r="K55" s="36">
        <f>BASE!Q55</f>
        <v/>
      </c>
      <c r="L55" s="37">
        <f>IF(BASE!C55="","",IF(BASE!H55="","PENDENTE: tempo padrão",IF(BASE!I55="","tempo real ausente (usa padrão)","")))</f>
        <v/>
      </c>
    </row>
    <row r="56">
      <c r="A56" s="11">
        <f>IF(BASE!A56="","",BASE!A56)</f>
        <v/>
      </c>
      <c r="B56" s="11">
        <f>IF(BASE!B56="","",BASE!B56)</f>
        <v/>
      </c>
      <c r="C56" s="11">
        <f>IF(BASE!C56="","",BASE!C56)</f>
        <v/>
      </c>
      <c r="D56" s="11">
        <f>IF(BASE!D56="","",BASE!D56)</f>
        <v/>
      </c>
      <c r="E56" s="11">
        <f>IF(BASE!E56="","",BASE!E56)</f>
        <v/>
      </c>
      <c r="F56" s="11">
        <f>IF(BASE!F56="","",BASE!F56)</f>
        <v/>
      </c>
      <c r="G56" s="33">
        <f>IF(BASE!H56="","",BASE!H56)</f>
        <v/>
      </c>
      <c r="H56" s="33">
        <f>IF(BASE!I56="","",BASE!I56)</f>
        <v/>
      </c>
      <c r="I56" s="34">
        <f>IF(AND(ISNUMBER(G56),ISNUMBER(H56)),H56-G56,"")</f>
        <v/>
      </c>
      <c r="J56" s="35">
        <f>IF(AND(ISNUMBER(I56),G56&gt;0),I56/G56,"")</f>
        <v/>
      </c>
      <c r="K56" s="36">
        <f>BASE!Q56</f>
        <v/>
      </c>
      <c r="L56" s="37">
        <f>IF(BASE!C56="","",IF(BASE!H56="","PENDENTE: tempo padrão",IF(BASE!I56="","tempo real ausente (usa padrão)","")))</f>
        <v/>
      </c>
    </row>
    <row r="57">
      <c r="A57" s="11">
        <f>IF(BASE!A57="","",BASE!A57)</f>
        <v/>
      </c>
      <c r="B57" s="11">
        <f>IF(BASE!B57="","",BASE!B57)</f>
        <v/>
      </c>
      <c r="C57" s="11">
        <f>IF(BASE!C57="","",BASE!C57)</f>
        <v/>
      </c>
      <c r="D57" s="11">
        <f>IF(BASE!D57="","",BASE!D57)</f>
        <v/>
      </c>
      <c r="E57" s="11">
        <f>IF(BASE!E57="","",BASE!E57)</f>
        <v/>
      </c>
      <c r="F57" s="11">
        <f>IF(BASE!F57="","",BASE!F57)</f>
        <v/>
      </c>
      <c r="G57" s="33">
        <f>IF(BASE!H57="","",BASE!H57)</f>
        <v/>
      </c>
      <c r="H57" s="33">
        <f>IF(BASE!I57="","",BASE!I57)</f>
        <v/>
      </c>
      <c r="I57" s="34">
        <f>IF(AND(ISNUMBER(G57),ISNUMBER(H57)),H57-G57,"")</f>
        <v/>
      </c>
      <c r="J57" s="35">
        <f>IF(AND(ISNUMBER(I57),G57&gt;0),I57/G57,"")</f>
        <v/>
      </c>
      <c r="K57" s="36">
        <f>BASE!Q57</f>
        <v/>
      </c>
      <c r="L57" s="37">
        <f>IF(BASE!C57="","",IF(BASE!H57="","PENDENTE: tempo padrão",IF(BASE!I57="","tempo real ausente (usa padrão)","")))</f>
        <v/>
      </c>
    </row>
    <row r="58">
      <c r="A58" s="11">
        <f>IF(BASE!A58="","",BASE!A58)</f>
        <v/>
      </c>
      <c r="B58" s="11">
        <f>IF(BASE!B58="","",BASE!B58)</f>
        <v/>
      </c>
      <c r="C58" s="11">
        <f>IF(BASE!C58="","",BASE!C58)</f>
        <v/>
      </c>
      <c r="D58" s="11">
        <f>IF(BASE!D58="","",BASE!D58)</f>
        <v/>
      </c>
      <c r="E58" s="11">
        <f>IF(BASE!E58="","",BASE!E58)</f>
        <v/>
      </c>
      <c r="F58" s="11">
        <f>IF(BASE!F58="","",BASE!F58)</f>
        <v/>
      </c>
      <c r="G58" s="33">
        <f>IF(BASE!H58="","",BASE!H58)</f>
        <v/>
      </c>
      <c r="H58" s="33">
        <f>IF(BASE!I58="","",BASE!I58)</f>
        <v/>
      </c>
      <c r="I58" s="34">
        <f>IF(AND(ISNUMBER(G58),ISNUMBER(H58)),H58-G58,"")</f>
        <v/>
      </c>
      <c r="J58" s="35">
        <f>IF(AND(ISNUMBER(I58),G58&gt;0),I58/G58,"")</f>
        <v/>
      </c>
      <c r="K58" s="36">
        <f>BASE!Q58</f>
        <v/>
      </c>
      <c r="L58" s="37">
        <f>IF(BASE!C58="","",IF(BASE!H58="","PENDENTE: tempo padrão",IF(BASE!I58="","tempo real ausente (usa padrão)","")))</f>
        <v/>
      </c>
    </row>
    <row r="59">
      <c r="A59" s="11">
        <f>IF(BASE!A59="","",BASE!A59)</f>
        <v/>
      </c>
      <c r="B59" s="11">
        <f>IF(BASE!B59="","",BASE!B59)</f>
        <v/>
      </c>
      <c r="C59" s="11">
        <f>IF(BASE!C59="","",BASE!C59)</f>
        <v/>
      </c>
      <c r="D59" s="11">
        <f>IF(BASE!D59="","",BASE!D59)</f>
        <v/>
      </c>
      <c r="E59" s="11">
        <f>IF(BASE!E59="","",BASE!E59)</f>
        <v/>
      </c>
      <c r="F59" s="11">
        <f>IF(BASE!F59="","",BASE!F59)</f>
        <v/>
      </c>
      <c r="G59" s="33">
        <f>IF(BASE!H59="","",BASE!H59)</f>
        <v/>
      </c>
      <c r="H59" s="33">
        <f>IF(BASE!I59="","",BASE!I59)</f>
        <v/>
      </c>
      <c r="I59" s="34">
        <f>IF(AND(ISNUMBER(G59),ISNUMBER(H59)),H59-G59,"")</f>
        <v/>
      </c>
      <c r="J59" s="35">
        <f>IF(AND(ISNUMBER(I59),G59&gt;0),I59/G59,"")</f>
        <v/>
      </c>
      <c r="K59" s="36">
        <f>BASE!Q59</f>
        <v/>
      </c>
      <c r="L59" s="37">
        <f>IF(BASE!C59="","",IF(BASE!H59="","PENDENTE: tempo padrão",IF(BASE!I59="","tempo real ausente (usa padrão)","")))</f>
        <v/>
      </c>
    </row>
    <row r="60">
      <c r="A60" s="11">
        <f>IF(BASE!A60="","",BASE!A60)</f>
        <v/>
      </c>
      <c r="B60" s="11">
        <f>IF(BASE!B60="","",BASE!B60)</f>
        <v/>
      </c>
      <c r="C60" s="11">
        <f>IF(BASE!C60="","",BASE!C60)</f>
        <v/>
      </c>
      <c r="D60" s="11">
        <f>IF(BASE!D60="","",BASE!D60)</f>
        <v/>
      </c>
      <c r="E60" s="11">
        <f>IF(BASE!E60="","",BASE!E60)</f>
        <v/>
      </c>
      <c r="F60" s="11">
        <f>IF(BASE!F60="","",BASE!F60)</f>
        <v/>
      </c>
      <c r="G60" s="33">
        <f>IF(BASE!H60="","",BASE!H60)</f>
        <v/>
      </c>
      <c r="H60" s="33">
        <f>IF(BASE!I60="","",BASE!I60)</f>
        <v/>
      </c>
      <c r="I60" s="34">
        <f>IF(AND(ISNUMBER(G60),ISNUMBER(H60)),H60-G60,"")</f>
        <v/>
      </c>
      <c r="J60" s="35">
        <f>IF(AND(ISNUMBER(I60),G60&gt;0),I60/G60,"")</f>
        <v/>
      </c>
      <c r="K60" s="36">
        <f>BASE!Q60</f>
        <v/>
      </c>
      <c r="L60" s="37">
        <f>IF(BASE!C60="","",IF(BASE!H60="","PENDENTE: tempo padrão",IF(BASE!I60="","tempo real ausente (usa padrão)","")))</f>
        <v/>
      </c>
    </row>
    <row r="61">
      <c r="A61" s="11">
        <f>IF(BASE!A61="","",BASE!A61)</f>
        <v/>
      </c>
      <c r="B61" s="11">
        <f>IF(BASE!B61="","",BASE!B61)</f>
        <v/>
      </c>
      <c r="C61" s="11">
        <f>IF(BASE!C61="","",BASE!C61)</f>
        <v/>
      </c>
      <c r="D61" s="11">
        <f>IF(BASE!D61="","",BASE!D61)</f>
        <v/>
      </c>
      <c r="E61" s="11">
        <f>IF(BASE!E61="","",BASE!E61)</f>
        <v/>
      </c>
      <c r="F61" s="11">
        <f>IF(BASE!F61="","",BASE!F61)</f>
        <v/>
      </c>
      <c r="G61" s="33">
        <f>IF(BASE!H61="","",BASE!H61)</f>
        <v/>
      </c>
      <c r="H61" s="33">
        <f>IF(BASE!I61="","",BASE!I61)</f>
        <v/>
      </c>
      <c r="I61" s="34">
        <f>IF(AND(ISNUMBER(G61),ISNUMBER(H61)),H61-G61,"")</f>
        <v/>
      </c>
      <c r="J61" s="35">
        <f>IF(AND(ISNUMBER(I61),G61&gt;0),I61/G61,"")</f>
        <v/>
      </c>
      <c r="K61" s="36">
        <f>BASE!Q61</f>
        <v/>
      </c>
      <c r="L61" s="37">
        <f>IF(BASE!C61="","",IF(BASE!H61="","PENDENTE: tempo padrão",IF(BASE!I61="","tempo real ausente (usa padrão)","")))</f>
        <v/>
      </c>
    </row>
    <row r="62">
      <c r="A62" s="11">
        <f>IF(BASE!A62="","",BASE!A62)</f>
        <v/>
      </c>
      <c r="B62" s="11">
        <f>IF(BASE!B62="","",BASE!B62)</f>
        <v/>
      </c>
      <c r="C62" s="11">
        <f>IF(BASE!C62="","",BASE!C62)</f>
        <v/>
      </c>
      <c r="D62" s="11">
        <f>IF(BASE!D62="","",BASE!D62)</f>
        <v/>
      </c>
      <c r="E62" s="11">
        <f>IF(BASE!E62="","",BASE!E62)</f>
        <v/>
      </c>
      <c r="F62" s="11">
        <f>IF(BASE!F62="","",BASE!F62)</f>
        <v/>
      </c>
      <c r="G62" s="33">
        <f>IF(BASE!H62="","",BASE!H62)</f>
        <v/>
      </c>
      <c r="H62" s="33">
        <f>IF(BASE!I62="","",BASE!I62)</f>
        <v/>
      </c>
      <c r="I62" s="34">
        <f>IF(AND(ISNUMBER(G62),ISNUMBER(H62)),H62-G62,"")</f>
        <v/>
      </c>
      <c r="J62" s="35">
        <f>IF(AND(ISNUMBER(I62),G62&gt;0),I62/G62,"")</f>
        <v/>
      </c>
      <c r="K62" s="36">
        <f>BASE!Q62</f>
        <v/>
      </c>
      <c r="L62" s="37">
        <f>IF(BASE!C62="","",IF(BASE!H62="","PENDENTE: tempo padrão",IF(BASE!I62="","tempo real ausente (usa padrão)","")))</f>
        <v/>
      </c>
    </row>
    <row r="63">
      <c r="A63" s="11">
        <f>IF(BASE!A63="","",BASE!A63)</f>
        <v/>
      </c>
      <c r="B63" s="11">
        <f>IF(BASE!B63="","",BASE!B63)</f>
        <v/>
      </c>
      <c r="C63" s="11">
        <f>IF(BASE!C63="","",BASE!C63)</f>
        <v/>
      </c>
      <c r="D63" s="11">
        <f>IF(BASE!D63="","",BASE!D63)</f>
        <v/>
      </c>
      <c r="E63" s="11">
        <f>IF(BASE!E63="","",BASE!E63)</f>
        <v/>
      </c>
      <c r="F63" s="11">
        <f>IF(BASE!F63="","",BASE!F63)</f>
        <v/>
      </c>
      <c r="G63" s="33">
        <f>IF(BASE!H63="","",BASE!H63)</f>
        <v/>
      </c>
      <c r="H63" s="33">
        <f>IF(BASE!I63="","",BASE!I63)</f>
        <v/>
      </c>
      <c r="I63" s="34">
        <f>IF(AND(ISNUMBER(G63),ISNUMBER(H63)),H63-G63,"")</f>
        <v/>
      </c>
      <c r="J63" s="35">
        <f>IF(AND(ISNUMBER(I63),G63&gt;0),I63/G63,"")</f>
        <v/>
      </c>
      <c r="K63" s="36">
        <f>BASE!Q63</f>
        <v/>
      </c>
      <c r="L63" s="37">
        <f>IF(BASE!C63="","",IF(BASE!H63="","PENDENTE: tempo padrão",IF(BASE!I63="","tempo real ausente (usa padrão)","")))</f>
        <v/>
      </c>
    </row>
    <row r="64">
      <c r="A64" s="11">
        <f>IF(BASE!A64="","",BASE!A64)</f>
        <v/>
      </c>
      <c r="B64" s="11">
        <f>IF(BASE!B64="","",BASE!B64)</f>
        <v/>
      </c>
      <c r="C64" s="11">
        <f>IF(BASE!C64="","",BASE!C64)</f>
        <v/>
      </c>
      <c r="D64" s="11">
        <f>IF(BASE!D64="","",BASE!D64)</f>
        <v/>
      </c>
      <c r="E64" s="11">
        <f>IF(BASE!E64="","",BASE!E64)</f>
        <v/>
      </c>
      <c r="F64" s="11">
        <f>IF(BASE!F64="","",BASE!F64)</f>
        <v/>
      </c>
      <c r="G64" s="33">
        <f>IF(BASE!H64="","",BASE!H64)</f>
        <v/>
      </c>
      <c r="H64" s="33">
        <f>IF(BASE!I64="","",BASE!I64)</f>
        <v/>
      </c>
      <c r="I64" s="34">
        <f>IF(AND(ISNUMBER(G64),ISNUMBER(H64)),H64-G64,"")</f>
        <v/>
      </c>
      <c r="J64" s="35">
        <f>IF(AND(ISNUMBER(I64),G64&gt;0),I64/G64,"")</f>
        <v/>
      </c>
      <c r="K64" s="36">
        <f>BASE!Q64</f>
        <v/>
      </c>
      <c r="L64" s="37">
        <f>IF(BASE!C64="","",IF(BASE!H64="","PENDENTE: tempo padrão",IF(BASE!I64="","tempo real ausente (usa padrão)","")))</f>
        <v/>
      </c>
    </row>
    <row r="65">
      <c r="A65" s="11">
        <f>IF(BASE!A65="","",BASE!A65)</f>
        <v/>
      </c>
      <c r="B65" s="11">
        <f>IF(BASE!B65="","",BASE!B65)</f>
        <v/>
      </c>
      <c r="C65" s="11">
        <f>IF(BASE!C65="","",BASE!C65)</f>
        <v/>
      </c>
      <c r="D65" s="11">
        <f>IF(BASE!D65="","",BASE!D65)</f>
        <v/>
      </c>
      <c r="E65" s="11">
        <f>IF(BASE!E65="","",BASE!E65)</f>
        <v/>
      </c>
      <c r="F65" s="11">
        <f>IF(BASE!F65="","",BASE!F65)</f>
        <v/>
      </c>
      <c r="G65" s="33">
        <f>IF(BASE!H65="","",BASE!H65)</f>
        <v/>
      </c>
      <c r="H65" s="33">
        <f>IF(BASE!I65="","",BASE!I65)</f>
        <v/>
      </c>
      <c r="I65" s="34">
        <f>IF(AND(ISNUMBER(G65),ISNUMBER(H65)),H65-G65,"")</f>
        <v/>
      </c>
      <c r="J65" s="35">
        <f>IF(AND(ISNUMBER(I65),G65&gt;0),I65/G65,"")</f>
        <v/>
      </c>
      <c r="K65" s="36">
        <f>BASE!Q65</f>
        <v/>
      </c>
      <c r="L65" s="37">
        <f>IF(BASE!C65="","",IF(BASE!H65="","PENDENTE: tempo padrão",IF(BASE!I65="","tempo real ausente (usa padrão)","")))</f>
        <v/>
      </c>
    </row>
    <row r="66">
      <c r="A66" s="11">
        <f>IF(BASE!A66="","",BASE!A66)</f>
        <v/>
      </c>
      <c r="B66" s="11">
        <f>IF(BASE!B66="","",BASE!B66)</f>
        <v/>
      </c>
      <c r="C66" s="11">
        <f>IF(BASE!C66="","",BASE!C66)</f>
        <v/>
      </c>
      <c r="D66" s="11">
        <f>IF(BASE!D66="","",BASE!D66)</f>
        <v/>
      </c>
      <c r="E66" s="11">
        <f>IF(BASE!E66="","",BASE!E66)</f>
        <v/>
      </c>
      <c r="F66" s="11">
        <f>IF(BASE!F66="","",BASE!F66)</f>
        <v/>
      </c>
      <c r="G66" s="33">
        <f>IF(BASE!H66="","",BASE!H66)</f>
        <v/>
      </c>
      <c r="H66" s="33">
        <f>IF(BASE!I66="","",BASE!I66)</f>
        <v/>
      </c>
      <c r="I66" s="34">
        <f>IF(AND(ISNUMBER(G66),ISNUMBER(H66)),H66-G66,"")</f>
        <v/>
      </c>
      <c r="J66" s="35">
        <f>IF(AND(ISNUMBER(I66),G66&gt;0),I66/G66,"")</f>
        <v/>
      </c>
      <c r="K66" s="36">
        <f>BASE!Q66</f>
        <v/>
      </c>
      <c r="L66" s="37">
        <f>IF(BASE!C66="","",IF(BASE!H66="","PENDENTE: tempo padrão",IF(BASE!I66="","tempo real ausente (usa padrão)","")))</f>
        <v/>
      </c>
    </row>
    <row r="67">
      <c r="A67" s="11">
        <f>IF(BASE!A67="","",BASE!A67)</f>
        <v/>
      </c>
      <c r="B67" s="11">
        <f>IF(BASE!B67="","",BASE!B67)</f>
        <v/>
      </c>
      <c r="C67" s="11">
        <f>IF(BASE!C67="","",BASE!C67)</f>
        <v/>
      </c>
      <c r="D67" s="11">
        <f>IF(BASE!D67="","",BASE!D67)</f>
        <v/>
      </c>
      <c r="E67" s="11">
        <f>IF(BASE!E67="","",BASE!E67)</f>
        <v/>
      </c>
      <c r="F67" s="11">
        <f>IF(BASE!F67="","",BASE!F67)</f>
        <v/>
      </c>
      <c r="G67" s="33">
        <f>IF(BASE!H67="","",BASE!H67)</f>
        <v/>
      </c>
      <c r="H67" s="33">
        <f>IF(BASE!I67="","",BASE!I67)</f>
        <v/>
      </c>
      <c r="I67" s="34">
        <f>IF(AND(ISNUMBER(G67),ISNUMBER(H67)),H67-G67,"")</f>
        <v/>
      </c>
      <c r="J67" s="35">
        <f>IF(AND(ISNUMBER(I67),G67&gt;0),I67/G67,"")</f>
        <v/>
      </c>
      <c r="K67" s="36">
        <f>BASE!Q67</f>
        <v/>
      </c>
      <c r="L67" s="37">
        <f>IF(BASE!C67="","",IF(BASE!H67="","PENDENTE: tempo padrão",IF(BASE!I67="","tempo real ausente (usa padrão)","")))</f>
        <v/>
      </c>
    </row>
    <row r="68">
      <c r="A68" s="11">
        <f>IF(BASE!A68="","",BASE!A68)</f>
        <v/>
      </c>
      <c r="B68" s="11">
        <f>IF(BASE!B68="","",BASE!B68)</f>
        <v/>
      </c>
      <c r="C68" s="11">
        <f>IF(BASE!C68="","",BASE!C68)</f>
        <v/>
      </c>
      <c r="D68" s="11">
        <f>IF(BASE!D68="","",BASE!D68)</f>
        <v/>
      </c>
      <c r="E68" s="11">
        <f>IF(BASE!E68="","",BASE!E68)</f>
        <v/>
      </c>
      <c r="F68" s="11">
        <f>IF(BASE!F68="","",BASE!F68)</f>
        <v/>
      </c>
      <c r="G68" s="33">
        <f>IF(BASE!H68="","",BASE!H68)</f>
        <v/>
      </c>
      <c r="H68" s="33">
        <f>IF(BASE!I68="","",BASE!I68)</f>
        <v/>
      </c>
      <c r="I68" s="34">
        <f>IF(AND(ISNUMBER(G68),ISNUMBER(H68)),H68-G68,"")</f>
        <v/>
      </c>
      <c r="J68" s="35">
        <f>IF(AND(ISNUMBER(I68),G68&gt;0),I68/G68,"")</f>
        <v/>
      </c>
      <c r="K68" s="36">
        <f>BASE!Q68</f>
        <v/>
      </c>
      <c r="L68" s="37">
        <f>IF(BASE!C68="","",IF(BASE!H68="","PENDENTE: tempo padrão",IF(BASE!I68="","tempo real ausente (usa padrão)","")))</f>
        <v/>
      </c>
    </row>
    <row r="69">
      <c r="A69" s="11">
        <f>IF(BASE!A69="","",BASE!A69)</f>
        <v/>
      </c>
      <c r="B69" s="11">
        <f>IF(BASE!B69="","",BASE!B69)</f>
        <v/>
      </c>
      <c r="C69" s="11">
        <f>IF(BASE!C69="","",BASE!C69)</f>
        <v/>
      </c>
      <c r="D69" s="11">
        <f>IF(BASE!D69="","",BASE!D69)</f>
        <v/>
      </c>
      <c r="E69" s="11">
        <f>IF(BASE!E69="","",BASE!E69)</f>
        <v/>
      </c>
      <c r="F69" s="11">
        <f>IF(BASE!F69="","",BASE!F69)</f>
        <v/>
      </c>
      <c r="G69" s="33">
        <f>IF(BASE!H69="","",BASE!H69)</f>
        <v/>
      </c>
      <c r="H69" s="33">
        <f>IF(BASE!I69="","",BASE!I69)</f>
        <v/>
      </c>
      <c r="I69" s="34">
        <f>IF(AND(ISNUMBER(G69),ISNUMBER(H69)),H69-G69,"")</f>
        <v/>
      </c>
      <c r="J69" s="35">
        <f>IF(AND(ISNUMBER(I69),G69&gt;0),I69/G69,"")</f>
        <v/>
      </c>
      <c r="K69" s="36">
        <f>BASE!Q69</f>
        <v/>
      </c>
      <c r="L69" s="37">
        <f>IF(BASE!C69="","",IF(BASE!H69="","PENDENTE: tempo padrão",IF(BASE!I69="","tempo real ausente (usa padrão)","")))</f>
        <v/>
      </c>
    </row>
    <row r="70">
      <c r="A70" s="11">
        <f>IF(BASE!A70="","",BASE!A70)</f>
        <v/>
      </c>
      <c r="B70" s="11">
        <f>IF(BASE!B70="","",BASE!B70)</f>
        <v/>
      </c>
      <c r="C70" s="11">
        <f>IF(BASE!C70="","",BASE!C70)</f>
        <v/>
      </c>
      <c r="D70" s="11">
        <f>IF(BASE!D70="","",BASE!D70)</f>
        <v/>
      </c>
      <c r="E70" s="11">
        <f>IF(BASE!E70="","",BASE!E70)</f>
        <v/>
      </c>
      <c r="F70" s="11">
        <f>IF(BASE!F70="","",BASE!F70)</f>
        <v/>
      </c>
      <c r="G70" s="33">
        <f>IF(BASE!H70="","",BASE!H70)</f>
        <v/>
      </c>
      <c r="H70" s="33">
        <f>IF(BASE!I70="","",BASE!I70)</f>
        <v/>
      </c>
      <c r="I70" s="34">
        <f>IF(AND(ISNUMBER(G70),ISNUMBER(H70)),H70-G70,"")</f>
        <v/>
      </c>
      <c r="J70" s="35">
        <f>IF(AND(ISNUMBER(I70),G70&gt;0),I70/G70,"")</f>
        <v/>
      </c>
      <c r="K70" s="36">
        <f>BASE!Q70</f>
        <v/>
      </c>
      <c r="L70" s="37">
        <f>IF(BASE!C70="","",IF(BASE!H70="","PENDENTE: tempo padrão",IF(BASE!I70="","tempo real ausente (usa padrão)","")))</f>
        <v/>
      </c>
    </row>
    <row r="71">
      <c r="A71" s="11">
        <f>IF(BASE!A71="","",BASE!A71)</f>
        <v/>
      </c>
      <c r="B71" s="11">
        <f>IF(BASE!B71="","",BASE!B71)</f>
        <v/>
      </c>
      <c r="C71" s="11">
        <f>IF(BASE!C71="","",BASE!C71)</f>
        <v/>
      </c>
      <c r="D71" s="11">
        <f>IF(BASE!D71="","",BASE!D71)</f>
        <v/>
      </c>
      <c r="E71" s="11">
        <f>IF(BASE!E71="","",BASE!E71)</f>
        <v/>
      </c>
      <c r="F71" s="11">
        <f>IF(BASE!F71="","",BASE!F71)</f>
        <v/>
      </c>
      <c r="G71" s="33">
        <f>IF(BASE!H71="","",BASE!H71)</f>
        <v/>
      </c>
      <c r="H71" s="33">
        <f>IF(BASE!I71="","",BASE!I71)</f>
        <v/>
      </c>
      <c r="I71" s="34">
        <f>IF(AND(ISNUMBER(G71),ISNUMBER(H71)),H71-G71,"")</f>
        <v/>
      </c>
      <c r="J71" s="35">
        <f>IF(AND(ISNUMBER(I71),G71&gt;0),I71/G71,"")</f>
        <v/>
      </c>
      <c r="K71" s="36">
        <f>BASE!Q71</f>
        <v/>
      </c>
      <c r="L71" s="37">
        <f>IF(BASE!C71="","",IF(BASE!H71="","PENDENTE: tempo padrão",IF(BASE!I71="","tempo real ausente (usa padrão)","")))</f>
        <v/>
      </c>
    </row>
    <row r="72">
      <c r="A72" s="11">
        <f>IF(BASE!A72="","",BASE!A72)</f>
        <v/>
      </c>
      <c r="B72" s="11">
        <f>IF(BASE!B72="","",BASE!B72)</f>
        <v/>
      </c>
      <c r="C72" s="11">
        <f>IF(BASE!C72="","",BASE!C72)</f>
        <v/>
      </c>
      <c r="D72" s="11">
        <f>IF(BASE!D72="","",BASE!D72)</f>
        <v/>
      </c>
      <c r="E72" s="11">
        <f>IF(BASE!E72="","",BASE!E72)</f>
        <v/>
      </c>
      <c r="F72" s="11">
        <f>IF(BASE!F72="","",BASE!F72)</f>
        <v/>
      </c>
      <c r="G72" s="33">
        <f>IF(BASE!H72="","",BASE!H72)</f>
        <v/>
      </c>
      <c r="H72" s="33">
        <f>IF(BASE!I72="","",BASE!I72)</f>
        <v/>
      </c>
      <c r="I72" s="34">
        <f>IF(AND(ISNUMBER(G72),ISNUMBER(H72)),H72-G72,"")</f>
        <v/>
      </c>
      <c r="J72" s="35">
        <f>IF(AND(ISNUMBER(I72),G72&gt;0),I72/G72,"")</f>
        <v/>
      </c>
      <c r="K72" s="36">
        <f>BASE!Q72</f>
        <v/>
      </c>
      <c r="L72" s="37">
        <f>IF(BASE!C72="","",IF(BASE!H72="","PENDENTE: tempo padrão",IF(BASE!I72="","tempo real ausente (usa padrão)","")))</f>
        <v/>
      </c>
    </row>
    <row r="73">
      <c r="A73" s="11">
        <f>IF(BASE!A73="","",BASE!A73)</f>
        <v/>
      </c>
      <c r="B73" s="11">
        <f>IF(BASE!B73="","",BASE!B73)</f>
        <v/>
      </c>
      <c r="C73" s="11">
        <f>IF(BASE!C73="","",BASE!C73)</f>
        <v/>
      </c>
      <c r="D73" s="11">
        <f>IF(BASE!D73="","",BASE!D73)</f>
        <v/>
      </c>
      <c r="E73" s="11">
        <f>IF(BASE!E73="","",BASE!E73)</f>
        <v/>
      </c>
      <c r="F73" s="11">
        <f>IF(BASE!F73="","",BASE!F73)</f>
        <v/>
      </c>
      <c r="G73" s="33">
        <f>IF(BASE!H73="","",BASE!H73)</f>
        <v/>
      </c>
      <c r="H73" s="33">
        <f>IF(BASE!I73="","",BASE!I73)</f>
        <v/>
      </c>
      <c r="I73" s="34">
        <f>IF(AND(ISNUMBER(G73),ISNUMBER(H73)),H73-G73,"")</f>
        <v/>
      </c>
      <c r="J73" s="35">
        <f>IF(AND(ISNUMBER(I73),G73&gt;0),I73/G73,"")</f>
        <v/>
      </c>
      <c r="K73" s="36">
        <f>BASE!Q73</f>
        <v/>
      </c>
      <c r="L73" s="37">
        <f>IF(BASE!C73="","",IF(BASE!H73="","PENDENTE: tempo padrão",IF(BASE!I73="","tempo real ausente (usa padrão)","")))</f>
        <v/>
      </c>
    </row>
    <row r="74">
      <c r="A74" s="11">
        <f>IF(BASE!A74="","",BASE!A74)</f>
        <v/>
      </c>
      <c r="B74" s="11">
        <f>IF(BASE!B74="","",BASE!B74)</f>
        <v/>
      </c>
      <c r="C74" s="11">
        <f>IF(BASE!C74="","",BASE!C74)</f>
        <v/>
      </c>
      <c r="D74" s="11">
        <f>IF(BASE!D74="","",BASE!D74)</f>
        <v/>
      </c>
      <c r="E74" s="11">
        <f>IF(BASE!E74="","",BASE!E74)</f>
        <v/>
      </c>
      <c r="F74" s="11">
        <f>IF(BASE!F74="","",BASE!F74)</f>
        <v/>
      </c>
      <c r="G74" s="33">
        <f>IF(BASE!H74="","",BASE!H74)</f>
        <v/>
      </c>
      <c r="H74" s="33">
        <f>IF(BASE!I74="","",BASE!I74)</f>
        <v/>
      </c>
      <c r="I74" s="34">
        <f>IF(AND(ISNUMBER(G74),ISNUMBER(H74)),H74-G74,"")</f>
        <v/>
      </c>
      <c r="J74" s="35">
        <f>IF(AND(ISNUMBER(I74),G74&gt;0),I74/G74,"")</f>
        <v/>
      </c>
      <c r="K74" s="36">
        <f>BASE!Q74</f>
        <v/>
      </c>
      <c r="L74" s="37">
        <f>IF(BASE!C74="","",IF(BASE!H74="","PENDENTE: tempo padrão",IF(BASE!I74="","tempo real ausente (usa padrão)","")))</f>
        <v/>
      </c>
    </row>
    <row r="75">
      <c r="A75" s="11">
        <f>IF(BASE!A75="","",BASE!A75)</f>
        <v/>
      </c>
      <c r="B75" s="11">
        <f>IF(BASE!B75="","",BASE!B75)</f>
        <v/>
      </c>
      <c r="C75" s="11">
        <f>IF(BASE!C75="","",BASE!C75)</f>
        <v/>
      </c>
      <c r="D75" s="11">
        <f>IF(BASE!D75="","",BASE!D75)</f>
        <v/>
      </c>
      <c r="E75" s="11">
        <f>IF(BASE!E75="","",BASE!E75)</f>
        <v/>
      </c>
      <c r="F75" s="11">
        <f>IF(BASE!F75="","",BASE!F75)</f>
        <v/>
      </c>
      <c r="G75" s="33">
        <f>IF(BASE!H75="","",BASE!H75)</f>
        <v/>
      </c>
      <c r="H75" s="33">
        <f>IF(BASE!I75="","",BASE!I75)</f>
        <v/>
      </c>
      <c r="I75" s="34">
        <f>IF(AND(ISNUMBER(G75),ISNUMBER(H75)),H75-G75,"")</f>
        <v/>
      </c>
      <c r="J75" s="35">
        <f>IF(AND(ISNUMBER(I75),G75&gt;0),I75/G75,"")</f>
        <v/>
      </c>
      <c r="K75" s="36">
        <f>BASE!Q75</f>
        <v/>
      </c>
      <c r="L75" s="37">
        <f>IF(BASE!C75="","",IF(BASE!H75="","PENDENTE: tempo padrão",IF(BASE!I75="","tempo real ausente (usa padrão)","")))</f>
        <v/>
      </c>
    </row>
    <row r="76">
      <c r="A76" s="11">
        <f>IF(BASE!A76="","",BASE!A76)</f>
        <v/>
      </c>
      <c r="B76" s="11">
        <f>IF(BASE!B76="","",BASE!B76)</f>
        <v/>
      </c>
      <c r="C76" s="11">
        <f>IF(BASE!C76="","",BASE!C76)</f>
        <v/>
      </c>
      <c r="D76" s="11">
        <f>IF(BASE!D76="","",BASE!D76)</f>
        <v/>
      </c>
      <c r="E76" s="11">
        <f>IF(BASE!E76="","",BASE!E76)</f>
        <v/>
      </c>
      <c r="F76" s="11">
        <f>IF(BASE!F76="","",BASE!F76)</f>
        <v/>
      </c>
      <c r="G76" s="33">
        <f>IF(BASE!H76="","",BASE!H76)</f>
        <v/>
      </c>
      <c r="H76" s="33">
        <f>IF(BASE!I76="","",BASE!I76)</f>
        <v/>
      </c>
      <c r="I76" s="34">
        <f>IF(AND(ISNUMBER(G76),ISNUMBER(H76)),H76-G76,"")</f>
        <v/>
      </c>
      <c r="J76" s="35">
        <f>IF(AND(ISNUMBER(I76),G76&gt;0),I76/G76,"")</f>
        <v/>
      </c>
      <c r="K76" s="36">
        <f>BASE!Q76</f>
        <v/>
      </c>
      <c r="L76" s="37">
        <f>IF(BASE!C76="","",IF(BASE!H76="","PENDENTE: tempo padrão",IF(BASE!I76="","tempo real ausente (usa padrão)","")))</f>
        <v/>
      </c>
    </row>
    <row r="77">
      <c r="A77" s="11">
        <f>IF(BASE!A77="","",BASE!A77)</f>
        <v/>
      </c>
      <c r="B77" s="11">
        <f>IF(BASE!B77="","",BASE!B77)</f>
        <v/>
      </c>
      <c r="C77" s="11">
        <f>IF(BASE!C77="","",BASE!C77)</f>
        <v/>
      </c>
      <c r="D77" s="11">
        <f>IF(BASE!D77="","",BASE!D77)</f>
        <v/>
      </c>
      <c r="E77" s="11">
        <f>IF(BASE!E77="","",BASE!E77)</f>
        <v/>
      </c>
      <c r="F77" s="11">
        <f>IF(BASE!F77="","",BASE!F77)</f>
        <v/>
      </c>
      <c r="G77" s="33">
        <f>IF(BASE!H77="","",BASE!H77)</f>
        <v/>
      </c>
      <c r="H77" s="33">
        <f>IF(BASE!I77="","",BASE!I77)</f>
        <v/>
      </c>
      <c r="I77" s="34">
        <f>IF(AND(ISNUMBER(G77),ISNUMBER(H77)),H77-G77,"")</f>
        <v/>
      </c>
      <c r="J77" s="35">
        <f>IF(AND(ISNUMBER(I77),G77&gt;0),I77/G77,"")</f>
        <v/>
      </c>
      <c r="K77" s="36">
        <f>BASE!Q77</f>
        <v/>
      </c>
      <c r="L77" s="37">
        <f>IF(BASE!C77="","",IF(BASE!H77="","PENDENTE: tempo padrão",IF(BASE!I77="","tempo real ausente (usa padrão)","")))</f>
        <v/>
      </c>
    </row>
    <row r="78">
      <c r="A78" s="11">
        <f>IF(BASE!A78="","",BASE!A78)</f>
        <v/>
      </c>
      <c r="B78" s="11">
        <f>IF(BASE!B78="","",BASE!B78)</f>
        <v/>
      </c>
      <c r="C78" s="11">
        <f>IF(BASE!C78="","",BASE!C78)</f>
        <v/>
      </c>
      <c r="D78" s="11">
        <f>IF(BASE!D78="","",BASE!D78)</f>
        <v/>
      </c>
      <c r="E78" s="11">
        <f>IF(BASE!E78="","",BASE!E78)</f>
        <v/>
      </c>
      <c r="F78" s="11">
        <f>IF(BASE!F78="","",BASE!F78)</f>
        <v/>
      </c>
      <c r="G78" s="33">
        <f>IF(BASE!H78="","",BASE!H78)</f>
        <v/>
      </c>
      <c r="H78" s="33">
        <f>IF(BASE!I78="","",BASE!I78)</f>
        <v/>
      </c>
      <c r="I78" s="34">
        <f>IF(AND(ISNUMBER(G78),ISNUMBER(H78)),H78-G78,"")</f>
        <v/>
      </c>
      <c r="J78" s="35">
        <f>IF(AND(ISNUMBER(I78),G78&gt;0),I78/G78,"")</f>
        <v/>
      </c>
      <c r="K78" s="36">
        <f>BASE!Q78</f>
        <v/>
      </c>
      <c r="L78" s="37">
        <f>IF(BASE!C78="","",IF(BASE!H78="","PENDENTE: tempo padrão",IF(BASE!I78="","tempo real ausente (usa padrão)","")))</f>
        <v/>
      </c>
    </row>
    <row r="79">
      <c r="A79" s="11">
        <f>IF(BASE!A79="","",BASE!A79)</f>
        <v/>
      </c>
      <c r="B79" s="11">
        <f>IF(BASE!B79="","",BASE!B79)</f>
        <v/>
      </c>
      <c r="C79" s="11">
        <f>IF(BASE!C79="","",BASE!C79)</f>
        <v/>
      </c>
      <c r="D79" s="11">
        <f>IF(BASE!D79="","",BASE!D79)</f>
        <v/>
      </c>
      <c r="E79" s="11">
        <f>IF(BASE!E79="","",BASE!E79)</f>
        <v/>
      </c>
      <c r="F79" s="11">
        <f>IF(BASE!F79="","",BASE!F79)</f>
        <v/>
      </c>
      <c r="G79" s="33">
        <f>IF(BASE!H79="","",BASE!H79)</f>
        <v/>
      </c>
      <c r="H79" s="33">
        <f>IF(BASE!I79="","",BASE!I79)</f>
        <v/>
      </c>
      <c r="I79" s="34">
        <f>IF(AND(ISNUMBER(G79),ISNUMBER(H79)),H79-G79,"")</f>
        <v/>
      </c>
      <c r="J79" s="35">
        <f>IF(AND(ISNUMBER(I79),G79&gt;0),I79/G79,"")</f>
        <v/>
      </c>
      <c r="K79" s="36">
        <f>BASE!Q79</f>
        <v/>
      </c>
      <c r="L79" s="37">
        <f>IF(BASE!C79="","",IF(BASE!H79="","PENDENTE: tempo padrão",IF(BASE!I79="","tempo real ausente (usa padrão)","")))</f>
        <v/>
      </c>
    </row>
    <row r="80">
      <c r="A80" s="11">
        <f>IF(BASE!A80="","",BASE!A80)</f>
        <v/>
      </c>
      <c r="B80" s="11">
        <f>IF(BASE!B80="","",BASE!B80)</f>
        <v/>
      </c>
      <c r="C80" s="11">
        <f>IF(BASE!C80="","",BASE!C80)</f>
        <v/>
      </c>
      <c r="D80" s="11">
        <f>IF(BASE!D80="","",BASE!D80)</f>
        <v/>
      </c>
      <c r="E80" s="11">
        <f>IF(BASE!E80="","",BASE!E80)</f>
        <v/>
      </c>
      <c r="F80" s="11">
        <f>IF(BASE!F80="","",BASE!F80)</f>
        <v/>
      </c>
      <c r="G80" s="33">
        <f>IF(BASE!H80="","",BASE!H80)</f>
        <v/>
      </c>
      <c r="H80" s="33">
        <f>IF(BASE!I80="","",BASE!I80)</f>
        <v/>
      </c>
      <c r="I80" s="34">
        <f>IF(AND(ISNUMBER(G80),ISNUMBER(H80)),H80-G80,"")</f>
        <v/>
      </c>
      <c r="J80" s="35">
        <f>IF(AND(ISNUMBER(I80),G80&gt;0),I80/G80,"")</f>
        <v/>
      </c>
      <c r="K80" s="36">
        <f>BASE!Q80</f>
        <v/>
      </c>
      <c r="L80" s="37">
        <f>IF(BASE!C80="","",IF(BASE!H80="","PENDENTE: tempo padrão",IF(BASE!I80="","tempo real ausente (usa padrão)","")))</f>
        <v/>
      </c>
    </row>
    <row r="81">
      <c r="A81" s="11">
        <f>IF(BASE!A81="","",BASE!A81)</f>
        <v/>
      </c>
      <c r="B81" s="11">
        <f>IF(BASE!B81="","",BASE!B81)</f>
        <v/>
      </c>
      <c r="C81" s="11">
        <f>IF(BASE!C81="","",BASE!C81)</f>
        <v/>
      </c>
      <c r="D81" s="11">
        <f>IF(BASE!D81="","",BASE!D81)</f>
        <v/>
      </c>
      <c r="E81" s="11">
        <f>IF(BASE!E81="","",BASE!E81)</f>
        <v/>
      </c>
      <c r="F81" s="11">
        <f>IF(BASE!F81="","",BASE!F81)</f>
        <v/>
      </c>
      <c r="G81" s="33">
        <f>IF(BASE!H81="","",BASE!H81)</f>
        <v/>
      </c>
      <c r="H81" s="33">
        <f>IF(BASE!I81="","",BASE!I81)</f>
        <v/>
      </c>
      <c r="I81" s="34">
        <f>IF(AND(ISNUMBER(G81),ISNUMBER(H81)),H81-G81,"")</f>
        <v/>
      </c>
      <c r="J81" s="35">
        <f>IF(AND(ISNUMBER(I81),G81&gt;0),I81/G81,"")</f>
        <v/>
      </c>
      <c r="K81" s="36">
        <f>BASE!Q81</f>
        <v/>
      </c>
      <c r="L81" s="37">
        <f>IF(BASE!C81="","",IF(BASE!H81="","PENDENTE: tempo padrão",IF(BASE!I81="","tempo real ausente (usa padrão)","")))</f>
        <v/>
      </c>
    </row>
    <row r="82">
      <c r="A82" s="11">
        <f>IF(BASE!A82="","",BASE!A82)</f>
        <v/>
      </c>
      <c r="B82" s="11">
        <f>IF(BASE!B82="","",BASE!B82)</f>
        <v/>
      </c>
      <c r="C82" s="11">
        <f>IF(BASE!C82="","",BASE!C82)</f>
        <v/>
      </c>
      <c r="D82" s="11">
        <f>IF(BASE!D82="","",BASE!D82)</f>
        <v/>
      </c>
      <c r="E82" s="11">
        <f>IF(BASE!E82="","",BASE!E82)</f>
        <v/>
      </c>
      <c r="F82" s="11">
        <f>IF(BASE!F82="","",BASE!F82)</f>
        <v/>
      </c>
      <c r="G82" s="33">
        <f>IF(BASE!H82="","",BASE!H82)</f>
        <v/>
      </c>
      <c r="H82" s="33">
        <f>IF(BASE!I82="","",BASE!I82)</f>
        <v/>
      </c>
      <c r="I82" s="34">
        <f>IF(AND(ISNUMBER(G82),ISNUMBER(H82)),H82-G82,"")</f>
        <v/>
      </c>
      <c r="J82" s="35">
        <f>IF(AND(ISNUMBER(I82),G82&gt;0),I82/G82,"")</f>
        <v/>
      </c>
      <c r="K82" s="36">
        <f>BASE!Q82</f>
        <v/>
      </c>
      <c r="L82" s="37">
        <f>IF(BASE!C82="","",IF(BASE!H82="","PENDENTE: tempo padrão",IF(BASE!I82="","tempo real ausente (usa padrão)","")))</f>
        <v/>
      </c>
    </row>
    <row r="83">
      <c r="A83" s="11">
        <f>IF(BASE!A83="","",BASE!A83)</f>
        <v/>
      </c>
      <c r="B83" s="11">
        <f>IF(BASE!B83="","",BASE!B83)</f>
        <v/>
      </c>
      <c r="C83" s="11">
        <f>IF(BASE!C83="","",BASE!C83)</f>
        <v/>
      </c>
      <c r="D83" s="11">
        <f>IF(BASE!D83="","",BASE!D83)</f>
        <v/>
      </c>
      <c r="E83" s="11">
        <f>IF(BASE!E83="","",BASE!E83)</f>
        <v/>
      </c>
      <c r="F83" s="11">
        <f>IF(BASE!F83="","",BASE!F83)</f>
        <v/>
      </c>
      <c r="G83" s="33">
        <f>IF(BASE!H83="","",BASE!H83)</f>
        <v/>
      </c>
      <c r="H83" s="33">
        <f>IF(BASE!I83="","",BASE!I83)</f>
        <v/>
      </c>
      <c r="I83" s="34">
        <f>IF(AND(ISNUMBER(G83),ISNUMBER(H83)),H83-G83,"")</f>
        <v/>
      </c>
      <c r="J83" s="35">
        <f>IF(AND(ISNUMBER(I83),G83&gt;0),I83/G83,"")</f>
        <v/>
      </c>
      <c r="K83" s="36">
        <f>BASE!Q83</f>
        <v/>
      </c>
      <c r="L83" s="37">
        <f>IF(BASE!C83="","",IF(BASE!H83="","PENDENTE: tempo padrão",IF(BASE!I83="","tempo real ausente (usa padrão)","")))</f>
        <v/>
      </c>
    </row>
    <row r="84">
      <c r="A84" s="11">
        <f>IF(BASE!A84="","",BASE!A84)</f>
        <v/>
      </c>
      <c r="B84" s="11">
        <f>IF(BASE!B84="","",BASE!B84)</f>
        <v/>
      </c>
      <c r="C84" s="11">
        <f>IF(BASE!C84="","",BASE!C84)</f>
        <v/>
      </c>
      <c r="D84" s="11">
        <f>IF(BASE!D84="","",BASE!D84)</f>
        <v/>
      </c>
      <c r="E84" s="11">
        <f>IF(BASE!E84="","",BASE!E84)</f>
        <v/>
      </c>
      <c r="F84" s="11">
        <f>IF(BASE!F84="","",BASE!F84)</f>
        <v/>
      </c>
      <c r="G84" s="33">
        <f>IF(BASE!H84="","",BASE!H84)</f>
        <v/>
      </c>
      <c r="H84" s="33">
        <f>IF(BASE!I84="","",BASE!I84)</f>
        <v/>
      </c>
      <c r="I84" s="34">
        <f>IF(AND(ISNUMBER(G84),ISNUMBER(H84)),H84-G84,"")</f>
        <v/>
      </c>
      <c r="J84" s="35">
        <f>IF(AND(ISNUMBER(I84),G84&gt;0),I84/G84,"")</f>
        <v/>
      </c>
      <c r="K84" s="36">
        <f>BASE!Q84</f>
        <v/>
      </c>
      <c r="L84" s="37">
        <f>IF(BASE!C84="","",IF(BASE!H84="","PENDENTE: tempo padrão",IF(BASE!I84="","tempo real ausente (usa padrão)","")))</f>
        <v/>
      </c>
    </row>
    <row r="85">
      <c r="A85" s="11">
        <f>IF(BASE!A85="","",BASE!A85)</f>
        <v/>
      </c>
      <c r="B85" s="11">
        <f>IF(BASE!B85="","",BASE!B85)</f>
        <v/>
      </c>
      <c r="C85" s="11">
        <f>IF(BASE!C85="","",BASE!C85)</f>
        <v/>
      </c>
      <c r="D85" s="11">
        <f>IF(BASE!D85="","",BASE!D85)</f>
        <v/>
      </c>
      <c r="E85" s="11">
        <f>IF(BASE!E85="","",BASE!E85)</f>
        <v/>
      </c>
      <c r="F85" s="11">
        <f>IF(BASE!F85="","",BASE!F85)</f>
        <v/>
      </c>
      <c r="G85" s="33">
        <f>IF(BASE!H85="","",BASE!H85)</f>
        <v/>
      </c>
      <c r="H85" s="33">
        <f>IF(BASE!I85="","",BASE!I85)</f>
        <v/>
      </c>
      <c r="I85" s="34">
        <f>IF(AND(ISNUMBER(G85),ISNUMBER(H85)),H85-G85,"")</f>
        <v/>
      </c>
      <c r="J85" s="35">
        <f>IF(AND(ISNUMBER(I85),G85&gt;0),I85/G85,"")</f>
        <v/>
      </c>
      <c r="K85" s="36">
        <f>BASE!Q85</f>
        <v/>
      </c>
      <c r="L85" s="37">
        <f>IF(BASE!C85="","",IF(BASE!H85="","PENDENTE: tempo padrão",IF(BASE!I85="","tempo real ausente (usa padrão)","")))</f>
        <v/>
      </c>
    </row>
    <row r="86">
      <c r="A86" s="11">
        <f>IF(BASE!A86="","",BASE!A86)</f>
        <v/>
      </c>
      <c r="B86" s="11">
        <f>IF(BASE!B86="","",BASE!B86)</f>
        <v/>
      </c>
      <c r="C86" s="11">
        <f>IF(BASE!C86="","",BASE!C86)</f>
        <v/>
      </c>
      <c r="D86" s="11">
        <f>IF(BASE!D86="","",BASE!D86)</f>
        <v/>
      </c>
      <c r="E86" s="11">
        <f>IF(BASE!E86="","",BASE!E86)</f>
        <v/>
      </c>
      <c r="F86" s="11">
        <f>IF(BASE!F86="","",BASE!F86)</f>
        <v/>
      </c>
      <c r="G86" s="33">
        <f>IF(BASE!H86="","",BASE!H86)</f>
        <v/>
      </c>
      <c r="H86" s="33">
        <f>IF(BASE!I86="","",BASE!I86)</f>
        <v/>
      </c>
      <c r="I86" s="34">
        <f>IF(AND(ISNUMBER(G86),ISNUMBER(H86)),H86-G86,"")</f>
        <v/>
      </c>
      <c r="J86" s="35">
        <f>IF(AND(ISNUMBER(I86),G86&gt;0),I86/G86,"")</f>
        <v/>
      </c>
      <c r="K86" s="36">
        <f>BASE!Q86</f>
        <v/>
      </c>
      <c r="L86" s="37">
        <f>IF(BASE!C86="","",IF(BASE!H86="","PENDENTE: tempo padrão",IF(BASE!I86="","tempo real ausente (usa padrão)","")))</f>
        <v/>
      </c>
    </row>
    <row r="87">
      <c r="A87" s="11">
        <f>IF(BASE!A87="","",BASE!A87)</f>
        <v/>
      </c>
      <c r="B87" s="11">
        <f>IF(BASE!B87="","",BASE!B87)</f>
        <v/>
      </c>
      <c r="C87" s="11">
        <f>IF(BASE!C87="","",BASE!C87)</f>
        <v/>
      </c>
      <c r="D87" s="11">
        <f>IF(BASE!D87="","",BASE!D87)</f>
        <v/>
      </c>
      <c r="E87" s="11">
        <f>IF(BASE!E87="","",BASE!E87)</f>
        <v/>
      </c>
      <c r="F87" s="11">
        <f>IF(BASE!F87="","",BASE!F87)</f>
        <v/>
      </c>
      <c r="G87" s="33">
        <f>IF(BASE!H87="","",BASE!H87)</f>
        <v/>
      </c>
      <c r="H87" s="33">
        <f>IF(BASE!I87="","",BASE!I87)</f>
        <v/>
      </c>
      <c r="I87" s="34">
        <f>IF(AND(ISNUMBER(G87),ISNUMBER(H87)),H87-G87,"")</f>
        <v/>
      </c>
      <c r="J87" s="35">
        <f>IF(AND(ISNUMBER(I87),G87&gt;0),I87/G87,"")</f>
        <v/>
      </c>
      <c r="K87" s="36">
        <f>BASE!Q87</f>
        <v/>
      </c>
      <c r="L87" s="37">
        <f>IF(BASE!C87="","",IF(BASE!H87="","PENDENTE: tempo padrão",IF(BASE!I87="","tempo real ausente (usa padrão)","")))</f>
        <v/>
      </c>
    </row>
    <row r="88">
      <c r="A88" s="11">
        <f>IF(BASE!A88="","",BASE!A88)</f>
        <v/>
      </c>
      <c r="B88" s="11">
        <f>IF(BASE!B88="","",BASE!B88)</f>
        <v/>
      </c>
      <c r="C88" s="11">
        <f>IF(BASE!C88="","",BASE!C88)</f>
        <v/>
      </c>
      <c r="D88" s="11">
        <f>IF(BASE!D88="","",BASE!D88)</f>
        <v/>
      </c>
      <c r="E88" s="11">
        <f>IF(BASE!E88="","",BASE!E88)</f>
        <v/>
      </c>
      <c r="F88" s="11">
        <f>IF(BASE!F88="","",BASE!F88)</f>
        <v/>
      </c>
      <c r="G88" s="33">
        <f>IF(BASE!H88="","",BASE!H88)</f>
        <v/>
      </c>
      <c r="H88" s="33">
        <f>IF(BASE!I88="","",BASE!I88)</f>
        <v/>
      </c>
      <c r="I88" s="34">
        <f>IF(AND(ISNUMBER(G88),ISNUMBER(H88)),H88-G88,"")</f>
        <v/>
      </c>
      <c r="J88" s="35">
        <f>IF(AND(ISNUMBER(I88),G88&gt;0),I88/G88,"")</f>
        <v/>
      </c>
      <c r="K88" s="36">
        <f>BASE!Q88</f>
        <v/>
      </c>
      <c r="L88" s="37">
        <f>IF(BASE!C88="","",IF(BASE!H88="","PENDENTE: tempo padrão",IF(BASE!I88="","tempo real ausente (usa padrão)","")))</f>
        <v/>
      </c>
    </row>
    <row r="89">
      <c r="A89" s="11">
        <f>IF(BASE!A89="","",BASE!A89)</f>
        <v/>
      </c>
      <c r="B89" s="11">
        <f>IF(BASE!B89="","",BASE!B89)</f>
        <v/>
      </c>
      <c r="C89" s="11">
        <f>IF(BASE!C89="","",BASE!C89)</f>
        <v/>
      </c>
      <c r="D89" s="11">
        <f>IF(BASE!D89="","",BASE!D89)</f>
        <v/>
      </c>
      <c r="E89" s="11">
        <f>IF(BASE!E89="","",BASE!E89)</f>
        <v/>
      </c>
      <c r="F89" s="11">
        <f>IF(BASE!F89="","",BASE!F89)</f>
        <v/>
      </c>
      <c r="G89" s="33">
        <f>IF(BASE!H89="","",BASE!H89)</f>
        <v/>
      </c>
      <c r="H89" s="33">
        <f>IF(BASE!I89="","",BASE!I89)</f>
        <v/>
      </c>
      <c r="I89" s="34">
        <f>IF(AND(ISNUMBER(G89),ISNUMBER(H89)),H89-G89,"")</f>
        <v/>
      </c>
      <c r="J89" s="35">
        <f>IF(AND(ISNUMBER(I89),G89&gt;0),I89/G89,"")</f>
        <v/>
      </c>
      <c r="K89" s="36">
        <f>BASE!Q89</f>
        <v/>
      </c>
      <c r="L89" s="37">
        <f>IF(BASE!C89="","",IF(BASE!H89="","PENDENTE: tempo padrão",IF(BASE!I89="","tempo real ausente (usa padrão)","")))</f>
        <v/>
      </c>
    </row>
    <row r="90">
      <c r="A90" s="11">
        <f>IF(BASE!A90="","",BASE!A90)</f>
        <v/>
      </c>
      <c r="B90" s="11">
        <f>IF(BASE!B90="","",BASE!B90)</f>
        <v/>
      </c>
      <c r="C90" s="11">
        <f>IF(BASE!C90="","",BASE!C90)</f>
        <v/>
      </c>
      <c r="D90" s="11">
        <f>IF(BASE!D90="","",BASE!D90)</f>
        <v/>
      </c>
      <c r="E90" s="11">
        <f>IF(BASE!E90="","",BASE!E90)</f>
        <v/>
      </c>
      <c r="F90" s="11">
        <f>IF(BASE!F90="","",BASE!F90)</f>
        <v/>
      </c>
      <c r="G90" s="33">
        <f>IF(BASE!H90="","",BASE!H90)</f>
        <v/>
      </c>
      <c r="H90" s="33">
        <f>IF(BASE!I90="","",BASE!I90)</f>
        <v/>
      </c>
      <c r="I90" s="34">
        <f>IF(AND(ISNUMBER(G90),ISNUMBER(H90)),H90-G90,"")</f>
        <v/>
      </c>
      <c r="J90" s="35">
        <f>IF(AND(ISNUMBER(I90),G90&gt;0),I90/G90,"")</f>
        <v/>
      </c>
      <c r="K90" s="36">
        <f>BASE!Q90</f>
        <v/>
      </c>
      <c r="L90" s="37">
        <f>IF(BASE!C90="","",IF(BASE!H90="","PENDENTE: tempo padrão",IF(BASE!I90="","tempo real ausente (usa padrão)","")))</f>
        <v/>
      </c>
    </row>
    <row r="91">
      <c r="A91" s="11">
        <f>IF(BASE!A91="","",BASE!A91)</f>
        <v/>
      </c>
      <c r="B91" s="11">
        <f>IF(BASE!B91="","",BASE!B91)</f>
        <v/>
      </c>
      <c r="C91" s="11">
        <f>IF(BASE!C91="","",BASE!C91)</f>
        <v/>
      </c>
      <c r="D91" s="11">
        <f>IF(BASE!D91="","",BASE!D91)</f>
        <v/>
      </c>
      <c r="E91" s="11">
        <f>IF(BASE!E91="","",BASE!E91)</f>
        <v/>
      </c>
      <c r="F91" s="11">
        <f>IF(BASE!F91="","",BASE!F91)</f>
        <v/>
      </c>
      <c r="G91" s="33">
        <f>IF(BASE!H91="","",BASE!H91)</f>
        <v/>
      </c>
      <c r="H91" s="33">
        <f>IF(BASE!I91="","",BASE!I91)</f>
        <v/>
      </c>
      <c r="I91" s="34">
        <f>IF(AND(ISNUMBER(G91),ISNUMBER(H91)),H91-G91,"")</f>
        <v/>
      </c>
      <c r="J91" s="35">
        <f>IF(AND(ISNUMBER(I91),G91&gt;0),I91/G91,"")</f>
        <v/>
      </c>
      <c r="K91" s="36">
        <f>BASE!Q91</f>
        <v/>
      </c>
      <c r="L91" s="37">
        <f>IF(BASE!C91="","",IF(BASE!H91="","PENDENTE: tempo padrão",IF(BASE!I91="","tempo real ausente (usa padrão)","")))</f>
        <v/>
      </c>
    </row>
    <row r="92">
      <c r="A92" s="11">
        <f>IF(BASE!A92="","",BASE!A92)</f>
        <v/>
      </c>
      <c r="B92" s="11">
        <f>IF(BASE!B92="","",BASE!B92)</f>
        <v/>
      </c>
      <c r="C92" s="11">
        <f>IF(BASE!C92="","",BASE!C92)</f>
        <v/>
      </c>
      <c r="D92" s="11">
        <f>IF(BASE!D92="","",BASE!D92)</f>
        <v/>
      </c>
      <c r="E92" s="11">
        <f>IF(BASE!E92="","",BASE!E92)</f>
        <v/>
      </c>
      <c r="F92" s="11">
        <f>IF(BASE!F92="","",BASE!F92)</f>
        <v/>
      </c>
      <c r="G92" s="33">
        <f>IF(BASE!H92="","",BASE!H92)</f>
        <v/>
      </c>
      <c r="H92" s="33">
        <f>IF(BASE!I92="","",BASE!I92)</f>
        <v/>
      </c>
      <c r="I92" s="34">
        <f>IF(AND(ISNUMBER(G92),ISNUMBER(H92)),H92-G92,"")</f>
        <v/>
      </c>
      <c r="J92" s="35">
        <f>IF(AND(ISNUMBER(I92),G92&gt;0),I92/G92,"")</f>
        <v/>
      </c>
      <c r="K92" s="36">
        <f>BASE!Q92</f>
        <v/>
      </c>
      <c r="L92" s="37">
        <f>IF(BASE!C92="","",IF(BASE!H92="","PENDENTE: tempo padrão",IF(BASE!I92="","tempo real ausente (usa padrão)","")))</f>
        <v/>
      </c>
    </row>
    <row r="93">
      <c r="A93" s="11">
        <f>IF(BASE!A93="","",BASE!A93)</f>
        <v/>
      </c>
      <c r="B93" s="11">
        <f>IF(BASE!B93="","",BASE!B93)</f>
        <v/>
      </c>
      <c r="C93" s="11">
        <f>IF(BASE!C93="","",BASE!C93)</f>
        <v/>
      </c>
      <c r="D93" s="11">
        <f>IF(BASE!D93="","",BASE!D93)</f>
        <v/>
      </c>
      <c r="E93" s="11">
        <f>IF(BASE!E93="","",BASE!E93)</f>
        <v/>
      </c>
      <c r="F93" s="11">
        <f>IF(BASE!F93="","",BASE!F93)</f>
        <v/>
      </c>
      <c r="G93" s="33">
        <f>IF(BASE!H93="","",BASE!H93)</f>
        <v/>
      </c>
      <c r="H93" s="33">
        <f>IF(BASE!I93="","",BASE!I93)</f>
        <v/>
      </c>
      <c r="I93" s="34">
        <f>IF(AND(ISNUMBER(G93),ISNUMBER(H93)),H93-G93,"")</f>
        <v/>
      </c>
      <c r="J93" s="35">
        <f>IF(AND(ISNUMBER(I93),G93&gt;0),I93/G93,"")</f>
        <v/>
      </c>
      <c r="K93" s="36">
        <f>BASE!Q93</f>
        <v/>
      </c>
      <c r="L93" s="37">
        <f>IF(BASE!C93="","",IF(BASE!H93="","PENDENTE: tempo padrão",IF(BASE!I93="","tempo real ausente (usa padrão)","")))</f>
        <v/>
      </c>
    </row>
    <row r="94">
      <c r="A94" s="11">
        <f>IF(BASE!A94="","",BASE!A94)</f>
        <v/>
      </c>
      <c r="B94" s="11">
        <f>IF(BASE!B94="","",BASE!B94)</f>
        <v/>
      </c>
      <c r="C94" s="11">
        <f>IF(BASE!C94="","",BASE!C94)</f>
        <v/>
      </c>
      <c r="D94" s="11">
        <f>IF(BASE!D94="","",BASE!D94)</f>
        <v/>
      </c>
      <c r="E94" s="11">
        <f>IF(BASE!E94="","",BASE!E94)</f>
        <v/>
      </c>
      <c r="F94" s="11">
        <f>IF(BASE!F94="","",BASE!F94)</f>
        <v/>
      </c>
      <c r="G94" s="33">
        <f>IF(BASE!H94="","",BASE!H94)</f>
        <v/>
      </c>
      <c r="H94" s="33">
        <f>IF(BASE!I94="","",BASE!I94)</f>
        <v/>
      </c>
      <c r="I94" s="34">
        <f>IF(AND(ISNUMBER(G94),ISNUMBER(H94)),H94-G94,"")</f>
        <v/>
      </c>
      <c r="J94" s="35">
        <f>IF(AND(ISNUMBER(I94),G94&gt;0),I94/G94,"")</f>
        <v/>
      </c>
      <c r="K94" s="36">
        <f>BASE!Q94</f>
        <v/>
      </c>
      <c r="L94" s="37">
        <f>IF(BASE!C94="","",IF(BASE!H94="","PENDENTE: tempo padrão",IF(BASE!I94="","tempo real ausente (usa padrão)","")))</f>
        <v/>
      </c>
    </row>
    <row r="95">
      <c r="A95" s="11">
        <f>IF(BASE!A95="","",BASE!A95)</f>
        <v/>
      </c>
      <c r="B95" s="11">
        <f>IF(BASE!B95="","",BASE!B95)</f>
        <v/>
      </c>
      <c r="C95" s="11">
        <f>IF(BASE!C95="","",BASE!C95)</f>
        <v/>
      </c>
      <c r="D95" s="11">
        <f>IF(BASE!D95="","",BASE!D95)</f>
        <v/>
      </c>
      <c r="E95" s="11">
        <f>IF(BASE!E95="","",BASE!E95)</f>
        <v/>
      </c>
      <c r="F95" s="11">
        <f>IF(BASE!F95="","",BASE!F95)</f>
        <v/>
      </c>
      <c r="G95" s="33">
        <f>IF(BASE!H95="","",BASE!H95)</f>
        <v/>
      </c>
      <c r="H95" s="33">
        <f>IF(BASE!I95="","",BASE!I95)</f>
        <v/>
      </c>
      <c r="I95" s="34">
        <f>IF(AND(ISNUMBER(G95),ISNUMBER(H95)),H95-G95,"")</f>
        <v/>
      </c>
      <c r="J95" s="35">
        <f>IF(AND(ISNUMBER(I95),G95&gt;0),I95/G95,"")</f>
        <v/>
      </c>
      <c r="K95" s="36">
        <f>BASE!Q95</f>
        <v/>
      </c>
      <c r="L95" s="37">
        <f>IF(BASE!C95="","",IF(BASE!H95="","PENDENTE: tempo padrão",IF(BASE!I95="","tempo real ausente (usa padrão)","")))</f>
        <v/>
      </c>
    </row>
    <row r="96">
      <c r="A96" s="11">
        <f>IF(BASE!A96="","",BASE!A96)</f>
        <v/>
      </c>
      <c r="B96" s="11">
        <f>IF(BASE!B96="","",BASE!B96)</f>
        <v/>
      </c>
      <c r="C96" s="11">
        <f>IF(BASE!C96="","",BASE!C96)</f>
        <v/>
      </c>
      <c r="D96" s="11">
        <f>IF(BASE!D96="","",BASE!D96)</f>
        <v/>
      </c>
      <c r="E96" s="11">
        <f>IF(BASE!E96="","",BASE!E96)</f>
        <v/>
      </c>
      <c r="F96" s="11">
        <f>IF(BASE!F96="","",BASE!F96)</f>
        <v/>
      </c>
      <c r="G96" s="33">
        <f>IF(BASE!H96="","",BASE!H96)</f>
        <v/>
      </c>
      <c r="H96" s="33">
        <f>IF(BASE!I96="","",BASE!I96)</f>
        <v/>
      </c>
      <c r="I96" s="34">
        <f>IF(AND(ISNUMBER(G96),ISNUMBER(H96)),H96-G96,"")</f>
        <v/>
      </c>
      <c r="J96" s="35">
        <f>IF(AND(ISNUMBER(I96),G96&gt;0),I96/G96,"")</f>
        <v/>
      </c>
      <c r="K96" s="36">
        <f>BASE!Q96</f>
        <v/>
      </c>
      <c r="L96" s="37">
        <f>IF(BASE!C96="","",IF(BASE!H96="","PENDENTE: tempo padrão",IF(BASE!I96="","tempo real ausente (usa padrão)","")))</f>
        <v/>
      </c>
    </row>
    <row r="97">
      <c r="A97" s="11">
        <f>IF(BASE!A97="","",BASE!A97)</f>
        <v/>
      </c>
      <c r="B97" s="11">
        <f>IF(BASE!B97="","",BASE!B97)</f>
        <v/>
      </c>
      <c r="C97" s="11">
        <f>IF(BASE!C97="","",BASE!C97)</f>
        <v/>
      </c>
      <c r="D97" s="11">
        <f>IF(BASE!D97="","",BASE!D97)</f>
        <v/>
      </c>
      <c r="E97" s="11">
        <f>IF(BASE!E97="","",BASE!E97)</f>
        <v/>
      </c>
      <c r="F97" s="11">
        <f>IF(BASE!F97="","",BASE!F97)</f>
        <v/>
      </c>
      <c r="G97" s="33">
        <f>IF(BASE!H97="","",BASE!H97)</f>
        <v/>
      </c>
      <c r="H97" s="33">
        <f>IF(BASE!I97="","",BASE!I97)</f>
        <v/>
      </c>
      <c r="I97" s="34">
        <f>IF(AND(ISNUMBER(G97),ISNUMBER(H97)),H97-G97,"")</f>
        <v/>
      </c>
      <c r="J97" s="35">
        <f>IF(AND(ISNUMBER(I97),G97&gt;0),I97/G97,"")</f>
        <v/>
      </c>
      <c r="K97" s="36">
        <f>BASE!Q97</f>
        <v/>
      </c>
      <c r="L97" s="37">
        <f>IF(BASE!C97="","",IF(BASE!H97="","PENDENTE: tempo padrão",IF(BASE!I97="","tempo real ausente (usa padrão)","")))</f>
        <v/>
      </c>
    </row>
    <row r="98">
      <c r="A98" s="11">
        <f>IF(BASE!A98="","",BASE!A98)</f>
        <v/>
      </c>
      <c r="B98" s="11">
        <f>IF(BASE!B98="","",BASE!B98)</f>
        <v/>
      </c>
      <c r="C98" s="11">
        <f>IF(BASE!C98="","",BASE!C98)</f>
        <v/>
      </c>
      <c r="D98" s="11">
        <f>IF(BASE!D98="","",BASE!D98)</f>
        <v/>
      </c>
      <c r="E98" s="11">
        <f>IF(BASE!E98="","",BASE!E98)</f>
        <v/>
      </c>
      <c r="F98" s="11">
        <f>IF(BASE!F98="","",BASE!F98)</f>
        <v/>
      </c>
      <c r="G98" s="33">
        <f>IF(BASE!H98="","",BASE!H98)</f>
        <v/>
      </c>
      <c r="H98" s="33">
        <f>IF(BASE!I98="","",BASE!I98)</f>
        <v/>
      </c>
      <c r="I98" s="34">
        <f>IF(AND(ISNUMBER(G98),ISNUMBER(H98)),H98-G98,"")</f>
        <v/>
      </c>
      <c r="J98" s="35">
        <f>IF(AND(ISNUMBER(I98),G98&gt;0),I98/G98,"")</f>
        <v/>
      </c>
      <c r="K98" s="36">
        <f>BASE!Q98</f>
        <v/>
      </c>
      <c r="L98" s="37">
        <f>IF(BASE!C98="","",IF(BASE!H98="","PENDENTE: tempo padrão",IF(BASE!I98="","tempo real ausente (usa padrão)","")))</f>
        <v/>
      </c>
    </row>
    <row r="99">
      <c r="A99" s="11">
        <f>IF(BASE!A99="","",BASE!A99)</f>
        <v/>
      </c>
      <c r="B99" s="11">
        <f>IF(BASE!B99="","",BASE!B99)</f>
        <v/>
      </c>
      <c r="C99" s="11">
        <f>IF(BASE!C99="","",BASE!C99)</f>
        <v/>
      </c>
      <c r="D99" s="11">
        <f>IF(BASE!D99="","",BASE!D99)</f>
        <v/>
      </c>
      <c r="E99" s="11">
        <f>IF(BASE!E99="","",BASE!E99)</f>
        <v/>
      </c>
      <c r="F99" s="11">
        <f>IF(BASE!F99="","",BASE!F99)</f>
        <v/>
      </c>
      <c r="G99" s="33">
        <f>IF(BASE!H99="","",BASE!H99)</f>
        <v/>
      </c>
      <c r="H99" s="33">
        <f>IF(BASE!I99="","",BASE!I99)</f>
        <v/>
      </c>
      <c r="I99" s="34">
        <f>IF(AND(ISNUMBER(G99),ISNUMBER(H99)),H99-G99,"")</f>
        <v/>
      </c>
      <c r="J99" s="35">
        <f>IF(AND(ISNUMBER(I99),G99&gt;0),I99/G99,"")</f>
        <v/>
      </c>
      <c r="K99" s="36">
        <f>BASE!Q99</f>
        <v/>
      </c>
      <c r="L99" s="37">
        <f>IF(BASE!C99="","",IF(BASE!H99="","PENDENTE: tempo padrão",IF(BASE!I99="","tempo real ausente (usa padrão)","")))</f>
        <v/>
      </c>
    </row>
    <row r="100">
      <c r="A100" s="11">
        <f>IF(BASE!A100="","",BASE!A100)</f>
        <v/>
      </c>
      <c r="B100" s="11">
        <f>IF(BASE!B100="","",BASE!B100)</f>
        <v/>
      </c>
      <c r="C100" s="11">
        <f>IF(BASE!C100="","",BASE!C100)</f>
        <v/>
      </c>
      <c r="D100" s="11">
        <f>IF(BASE!D100="","",BASE!D100)</f>
        <v/>
      </c>
      <c r="E100" s="11">
        <f>IF(BASE!E100="","",BASE!E100)</f>
        <v/>
      </c>
      <c r="F100" s="11">
        <f>IF(BASE!F100="","",BASE!F100)</f>
        <v/>
      </c>
      <c r="G100" s="33">
        <f>IF(BASE!H100="","",BASE!H100)</f>
        <v/>
      </c>
      <c r="H100" s="33">
        <f>IF(BASE!I100="","",BASE!I100)</f>
        <v/>
      </c>
      <c r="I100" s="34">
        <f>IF(AND(ISNUMBER(G100),ISNUMBER(H100)),H100-G100,"")</f>
        <v/>
      </c>
      <c r="J100" s="35">
        <f>IF(AND(ISNUMBER(I100),G100&gt;0),I100/G100,"")</f>
        <v/>
      </c>
      <c r="K100" s="36">
        <f>BASE!Q100</f>
        <v/>
      </c>
      <c r="L100" s="37">
        <f>IF(BASE!C100="","",IF(BASE!H100="","PENDENTE: tempo padrão",IF(BASE!I100="","tempo real ausente (usa padrão)","")))</f>
        <v/>
      </c>
    </row>
    <row r="101">
      <c r="A101" s="11">
        <f>IF(BASE!A101="","",BASE!A101)</f>
        <v/>
      </c>
      <c r="B101" s="11">
        <f>IF(BASE!B101="","",BASE!B101)</f>
        <v/>
      </c>
      <c r="C101" s="11">
        <f>IF(BASE!C101="","",BASE!C101)</f>
        <v/>
      </c>
      <c r="D101" s="11">
        <f>IF(BASE!D101="","",BASE!D101)</f>
        <v/>
      </c>
      <c r="E101" s="11">
        <f>IF(BASE!E101="","",BASE!E101)</f>
        <v/>
      </c>
      <c r="F101" s="11">
        <f>IF(BASE!F101="","",BASE!F101)</f>
        <v/>
      </c>
      <c r="G101" s="33">
        <f>IF(BASE!H101="","",BASE!H101)</f>
        <v/>
      </c>
      <c r="H101" s="33">
        <f>IF(BASE!I101="","",BASE!I101)</f>
        <v/>
      </c>
      <c r="I101" s="34">
        <f>IF(AND(ISNUMBER(G101),ISNUMBER(H101)),H101-G101,"")</f>
        <v/>
      </c>
      <c r="J101" s="35">
        <f>IF(AND(ISNUMBER(I101),G101&gt;0),I101/G101,"")</f>
        <v/>
      </c>
      <c r="K101" s="36">
        <f>BASE!Q101</f>
        <v/>
      </c>
      <c r="L101" s="37">
        <f>IF(BASE!C101="","",IF(BASE!H101="","PENDENTE: tempo padrão",IF(BASE!I101="","tempo real ausente (usa padrão)","")))</f>
        <v/>
      </c>
    </row>
    <row r="102">
      <c r="A102" s="11">
        <f>IF(BASE!A102="","",BASE!A102)</f>
        <v/>
      </c>
      <c r="B102" s="11">
        <f>IF(BASE!B102="","",BASE!B102)</f>
        <v/>
      </c>
      <c r="C102" s="11">
        <f>IF(BASE!C102="","",BASE!C102)</f>
        <v/>
      </c>
      <c r="D102" s="11">
        <f>IF(BASE!D102="","",BASE!D102)</f>
        <v/>
      </c>
      <c r="E102" s="11">
        <f>IF(BASE!E102="","",BASE!E102)</f>
        <v/>
      </c>
      <c r="F102" s="11">
        <f>IF(BASE!F102="","",BASE!F102)</f>
        <v/>
      </c>
      <c r="G102" s="33">
        <f>IF(BASE!H102="","",BASE!H102)</f>
        <v/>
      </c>
      <c r="H102" s="33">
        <f>IF(BASE!I102="","",BASE!I102)</f>
        <v/>
      </c>
      <c r="I102" s="34">
        <f>IF(AND(ISNUMBER(G102),ISNUMBER(H102)),H102-G102,"")</f>
        <v/>
      </c>
      <c r="J102" s="35">
        <f>IF(AND(ISNUMBER(I102),G102&gt;0),I102/G102,"")</f>
        <v/>
      </c>
      <c r="K102" s="36">
        <f>BASE!Q102</f>
        <v/>
      </c>
      <c r="L102" s="37">
        <f>IF(BASE!C102="","",IF(BASE!H102="","PENDENTE: tempo padrão",IF(BASE!I102="","tempo real ausente (usa padrão)","")))</f>
        <v/>
      </c>
    </row>
    <row r="103">
      <c r="A103" s="11">
        <f>IF(BASE!A103="","",BASE!A103)</f>
        <v/>
      </c>
      <c r="B103" s="11">
        <f>IF(BASE!B103="","",BASE!B103)</f>
        <v/>
      </c>
      <c r="C103" s="11">
        <f>IF(BASE!C103="","",BASE!C103)</f>
        <v/>
      </c>
      <c r="D103" s="11">
        <f>IF(BASE!D103="","",BASE!D103)</f>
        <v/>
      </c>
      <c r="E103" s="11">
        <f>IF(BASE!E103="","",BASE!E103)</f>
        <v/>
      </c>
      <c r="F103" s="11">
        <f>IF(BASE!F103="","",BASE!F103)</f>
        <v/>
      </c>
      <c r="G103" s="33">
        <f>IF(BASE!H103="","",BASE!H103)</f>
        <v/>
      </c>
      <c r="H103" s="33">
        <f>IF(BASE!I103="","",BASE!I103)</f>
        <v/>
      </c>
      <c r="I103" s="34">
        <f>IF(AND(ISNUMBER(G103),ISNUMBER(H103)),H103-G103,"")</f>
        <v/>
      </c>
      <c r="J103" s="35">
        <f>IF(AND(ISNUMBER(I103),G103&gt;0),I103/G103,"")</f>
        <v/>
      </c>
      <c r="K103" s="36">
        <f>BASE!Q103</f>
        <v/>
      </c>
      <c r="L103" s="37">
        <f>IF(BASE!C103="","",IF(BASE!H103="","PENDENTE: tempo padrão",IF(BASE!I103="","tempo real ausente (usa padrão)","")))</f>
        <v/>
      </c>
    </row>
    <row r="104">
      <c r="A104" s="11">
        <f>IF(BASE!A104="","",BASE!A104)</f>
        <v/>
      </c>
      <c r="B104" s="11">
        <f>IF(BASE!B104="","",BASE!B104)</f>
        <v/>
      </c>
      <c r="C104" s="11">
        <f>IF(BASE!C104="","",BASE!C104)</f>
        <v/>
      </c>
      <c r="D104" s="11">
        <f>IF(BASE!D104="","",BASE!D104)</f>
        <v/>
      </c>
      <c r="E104" s="11">
        <f>IF(BASE!E104="","",BASE!E104)</f>
        <v/>
      </c>
      <c r="F104" s="11">
        <f>IF(BASE!F104="","",BASE!F104)</f>
        <v/>
      </c>
      <c r="G104" s="33">
        <f>IF(BASE!H104="","",BASE!H104)</f>
        <v/>
      </c>
      <c r="H104" s="33">
        <f>IF(BASE!I104="","",BASE!I104)</f>
        <v/>
      </c>
      <c r="I104" s="34">
        <f>IF(AND(ISNUMBER(G104),ISNUMBER(H104)),H104-G104,"")</f>
        <v/>
      </c>
      <c r="J104" s="35">
        <f>IF(AND(ISNUMBER(I104),G104&gt;0),I104/G104,"")</f>
        <v/>
      </c>
      <c r="K104" s="36">
        <f>BASE!Q104</f>
        <v/>
      </c>
      <c r="L104" s="37">
        <f>IF(BASE!C104="","",IF(BASE!H104="","PENDENTE: tempo padrão",IF(BASE!I104="","tempo real ausente (usa padrão)","")))</f>
        <v/>
      </c>
    </row>
    <row r="105">
      <c r="A105" s="11">
        <f>IF(BASE!A105="","",BASE!A105)</f>
        <v/>
      </c>
      <c r="B105" s="11">
        <f>IF(BASE!B105="","",BASE!B105)</f>
        <v/>
      </c>
      <c r="C105" s="11">
        <f>IF(BASE!C105="","",BASE!C105)</f>
        <v/>
      </c>
      <c r="D105" s="11">
        <f>IF(BASE!D105="","",BASE!D105)</f>
        <v/>
      </c>
      <c r="E105" s="11">
        <f>IF(BASE!E105="","",BASE!E105)</f>
        <v/>
      </c>
      <c r="F105" s="11">
        <f>IF(BASE!F105="","",BASE!F105)</f>
        <v/>
      </c>
      <c r="G105" s="33">
        <f>IF(BASE!H105="","",BASE!H105)</f>
        <v/>
      </c>
      <c r="H105" s="33">
        <f>IF(BASE!I105="","",BASE!I105)</f>
        <v/>
      </c>
      <c r="I105" s="34">
        <f>IF(AND(ISNUMBER(G105),ISNUMBER(H105)),H105-G105,"")</f>
        <v/>
      </c>
      <c r="J105" s="35">
        <f>IF(AND(ISNUMBER(I105),G105&gt;0),I105/G105,"")</f>
        <v/>
      </c>
      <c r="K105" s="36">
        <f>BASE!Q105</f>
        <v/>
      </c>
      <c r="L105" s="37">
        <f>IF(BASE!C105="","",IF(BASE!H105="","PENDENTE: tempo padrão",IF(BASE!I105="","tempo real ausente (usa padrão)","")))</f>
        <v/>
      </c>
    </row>
    <row r="106">
      <c r="A106" s="11">
        <f>IF(BASE!A106="","",BASE!A106)</f>
        <v/>
      </c>
      <c r="B106" s="11">
        <f>IF(BASE!B106="","",BASE!B106)</f>
        <v/>
      </c>
      <c r="C106" s="11">
        <f>IF(BASE!C106="","",BASE!C106)</f>
        <v/>
      </c>
      <c r="D106" s="11">
        <f>IF(BASE!D106="","",BASE!D106)</f>
        <v/>
      </c>
      <c r="E106" s="11">
        <f>IF(BASE!E106="","",BASE!E106)</f>
        <v/>
      </c>
      <c r="F106" s="11">
        <f>IF(BASE!F106="","",BASE!F106)</f>
        <v/>
      </c>
      <c r="G106" s="33">
        <f>IF(BASE!H106="","",BASE!H106)</f>
        <v/>
      </c>
      <c r="H106" s="33">
        <f>IF(BASE!I106="","",BASE!I106)</f>
        <v/>
      </c>
      <c r="I106" s="34">
        <f>IF(AND(ISNUMBER(G106),ISNUMBER(H106)),H106-G106,"")</f>
        <v/>
      </c>
      <c r="J106" s="35">
        <f>IF(AND(ISNUMBER(I106),G106&gt;0),I106/G106,"")</f>
        <v/>
      </c>
      <c r="K106" s="36">
        <f>BASE!Q106</f>
        <v/>
      </c>
      <c r="L106" s="37">
        <f>IF(BASE!C106="","",IF(BASE!H106="","PENDENTE: tempo padrão",IF(BASE!I106="","tempo real ausente (usa padrão)","")))</f>
        <v/>
      </c>
    </row>
    <row r="107">
      <c r="A107" s="11">
        <f>IF(BASE!A107="","",BASE!A107)</f>
        <v/>
      </c>
      <c r="B107" s="11">
        <f>IF(BASE!B107="","",BASE!B107)</f>
        <v/>
      </c>
      <c r="C107" s="11">
        <f>IF(BASE!C107="","",BASE!C107)</f>
        <v/>
      </c>
      <c r="D107" s="11">
        <f>IF(BASE!D107="","",BASE!D107)</f>
        <v/>
      </c>
      <c r="E107" s="11">
        <f>IF(BASE!E107="","",BASE!E107)</f>
        <v/>
      </c>
      <c r="F107" s="11">
        <f>IF(BASE!F107="","",BASE!F107)</f>
        <v/>
      </c>
      <c r="G107" s="33">
        <f>IF(BASE!H107="","",BASE!H107)</f>
        <v/>
      </c>
      <c r="H107" s="33">
        <f>IF(BASE!I107="","",BASE!I107)</f>
        <v/>
      </c>
      <c r="I107" s="34">
        <f>IF(AND(ISNUMBER(G107),ISNUMBER(H107)),H107-G107,"")</f>
        <v/>
      </c>
      <c r="J107" s="35">
        <f>IF(AND(ISNUMBER(I107),G107&gt;0),I107/G107,"")</f>
        <v/>
      </c>
      <c r="K107" s="36">
        <f>BASE!Q107</f>
        <v/>
      </c>
      <c r="L107" s="37">
        <f>IF(BASE!C107="","",IF(BASE!H107="","PENDENTE: tempo padrão",IF(BASE!I107="","tempo real ausente (usa padrão)","")))</f>
        <v/>
      </c>
    </row>
    <row r="108">
      <c r="A108" s="11">
        <f>IF(BASE!A108="","",BASE!A108)</f>
        <v/>
      </c>
      <c r="B108" s="11">
        <f>IF(BASE!B108="","",BASE!B108)</f>
        <v/>
      </c>
      <c r="C108" s="11">
        <f>IF(BASE!C108="","",BASE!C108)</f>
        <v/>
      </c>
      <c r="D108" s="11">
        <f>IF(BASE!D108="","",BASE!D108)</f>
        <v/>
      </c>
      <c r="E108" s="11">
        <f>IF(BASE!E108="","",BASE!E108)</f>
        <v/>
      </c>
      <c r="F108" s="11">
        <f>IF(BASE!F108="","",BASE!F108)</f>
        <v/>
      </c>
      <c r="G108" s="33">
        <f>IF(BASE!H108="","",BASE!H108)</f>
        <v/>
      </c>
      <c r="H108" s="33">
        <f>IF(BASE!I108="","",BASE!I108)</f>
        <v/>
      </c>
      <c r="I108" s="34">
        <f>IF(AND(ISNUMBER(G108),ISNUMBER(H108)),H108-G108,"")</f>
        <v/>
      </c>
      <c r="J108" s="35">
        <f>IF(AND(ISNUMBER(I108),G108&gt;0),I108/G108,"")</f>
        <v/>
      </c>
      <c r="K108" s="36">
        <f>BASE!Q108</f>
        <v/>
      </c>
      <c r="L108" s="37">
        <f>IF(BASE!C108="","",IF(BASE!H108="","PENDENTE: tempo padrão",IF(BASE!I108="","tempo real ausente (usa padrão)","")))</f>
        <v/>
      </c>
    </row>
    <row r="109">
      <c r="A109" s="11">
        <f>IF(BASE!A109="","",BASE!A109)</f>
        <v/>
      </c>
      <c r="B109" s="11">
        <f>IF(BASE!B109="","",BASE!B109)</f>
        <v/>
      </c>
      <c r="C109" s="11">
        <f>IF(BASE!C109="","",BASE!C109)</f>
        <v/>
      </c>
      <c r="D109" s="11">
        <f>IF(BASE!D109="","",BASE!D109)</f>
        <v/>
      </c>
      <c r="E109" s="11">
        <f>IF(BASE!E109="","",BASE!E109)</f>
        <v/>
      </c>
      <c r="F109" s="11">
        <f>IF(BASE!F109="","",BASE!F109)</f>
        <v/>
      </c>
      <c r="G109" s="33">
        <f>IF(BASE!H109="","",BASE!H109)</f>
        <v/>
      </c>
      <c r="H109" s="33">
        <f>IF(BASE!I109="","",BASE!I109)</f>
        <v/>
      </c>
      <c r="I109" s="34">
        <f>IF(AND(ISNUMBER(G109),ISNUMBER(H109)),H109-G109,"")</f>
        <v/>
      </c>
      <c r="J109" s="35">
        <f>IF(AND(ISNUMBER(I109),G109&gt;0),I109/G109,"")</f>
        <v/>
      </c>
      <c r="K109" s="36">
        <f>BASE!Q109</f>
        <v/>
      </c>
      <c r="L109" s="37">
        <f>IF(BASE!C109="","",IF(BASE!H109="","PENDENTE: tempo padrão",IF(BASE!I109="","tempo real ausente (usa padrão)","")))</f>
        <v/>
      </c>
    </row>
    <row r="110">
      <c r="A110" s="11">
        <f>IF(BASE!A110="","",BASE!A110)</f>
        <v/>
      </c>
      <c r="B110" s="11">
        <f>IF(BASE!B110="","",BASE!B110)</f>
        <v/>
      </c>
      <c r="C110" s="11">
        <f>IF(BASE!C110="","",BASE!C110)</f>
        <v/>
      </c>
      <c r="D110" s="11">
        <f>IF(BASE!D110="","",BASE!D110)</f>
        <v/>
      </c>
      <c r="E110" s="11">
        <f>IF(BASE!E110="","",BASE!E110)</f>
        <v/>
      </c>
      <c r="F110" s="11">
        <f>IF(BASE!F110="","",BASE!F110)</f>
        <v/>
      </c>
      <c r="G110" s="33">
        <f>IF(BASE!H110="","",BASE!H110)</f>
        <v/>
      </c>
      <c r="H110" s="33">
        <f>IF(BASE!I110="","",BASE!I110)</f>
        <v/>
      </c>
      <c r="I110" s="34">
        <f>IF(AND(ISNUMBER(G110),ISNUMBER(H110)),H110-G110,"")</f>
        <v/>
      </c>
      <c r="J110" s="35">
        <f>IF(AND(ISNUMBER(I110),G110&gt;0),I110/G110,"")</f>
        <v/>
      </c>
      <c r="K110" s="36">
        <f>BASE!Q110</f>
        <v/>
      </c>
      <c r="L110" s="37">
        <f>IF(BASE!C110="","",IF(BASE!H110="","PENDENTE: tempo padrão",IF(BASE!I110="","tempo real ausente (usa padrão)","")))</f>
        <v/>
      </c>
    </row>
    <row r="111">
      <c r="A111" s="11">
        <f>IF(BASE!A111="","",BASE!A111)</f>
        <v/>
      </c>
      <c r="B111" s="11">
        <f>IF(BASE!B111="","",BASE!B111)</f>
        <v/>
      </c>
      <c r="C111" s="11">
        <f>IF(BASE!C111="","",BASE!C111)</f>
        <v/>
      </c>
      <c r="D111" s="11">
        <f>IF(BASE!D111="","",BASE!D111)</f>
        <v/>
      </c>
      <c r="E111" s="11">
        <f>IF(BASE!E111="","",BASE!E111)</f>
        <v/>
      </c>
      <c r="F111" s="11">
        <f>IF(BASE!F111="","",BASE!F111)</f>
        <v/>
      </c>
      <c r="G111" s="33">
        <f>IF(BASE!H111="","",BASE!H111)</f>
        <v/>
      </c>
      <c r="H111" s="33">
        <f>IF(BASE!I111="","",BASE!I111)</f>
        <v/>
      </c>
      <c r="I111" s="34">
        <f>IF(AND(ISNUMBER(G111),ISNUMBER(H111)),H111-G111,"")</f>
        <v/>
      </c>
      <c r="J111" s="35">
        <f>IF(AND(ISNUMBER(I111),G111&gt;0),I111/G111,"")</f>
        <v/>
      </c>
      <c r="K111" s="36">
        <f>BASE!Q111</f>
        <v/>
      </c>
      <c r="L111" s="37">
        <f>IF(BASE!C111="","",IF(BASE!H111="","PENDENTE: tempo padrão",IF(BASE!I111="","tempo real ausente (usa padrão)","")))</f>
        <v/>
      </c>
    </row>
    <row r="112">
      <c r="A112" s="11">
        <f>IF(BASE!A112="","",BASE!A112)</f>
        <v/>
      </c>
      <c r="B112" s="11">
        <f>IF(BASE!B112="","",BASE!B112)</f>
        <v/>
      </c>
      <c r="C112" s="11">
        <f>IF(BASE!C112="","",BASE!C112)</f>
        <v/>
      </c>
      <c r="D112" s="11">
        <f>IF(BASE!D112="","",BASE!D112)</f>
        <v/>
      </c>
      <c r="E112" s="11">
        <f>IF(BASE!E112="","",BASE!E112)</f>
        <v/>
      </c>
      <c r="F112" s="11">
        <f>IF(BASE!F112="","",BASE!F112)</f>
        <v/>
      </c>
      <c r="G112" s="33">
        <f>IF(BASE!H112="","",BASE!H112)</f>
        <v/>
      </c>
      <c r="H112" s="33">
        <f>IF(BASE!I112="","",BASE!I112)</f>
        <v/>
      </c>
      <c r="I112" s="34">
        <f>IF(AND(ISNUMBER(G112),ISNUMBER(H112)),H112-G112,"")</f>
        <v/>
      </c>
      <c r="J112" s="35">
        <f>IF(AND(ISNUMBER(I112),G112&gt;0),I112/G112,"")</f>
        <v/>
      </c>
      <c r="K112" s="36">
        <f>BASE!Q112</f>
        <v/>
      </c>
      <c r="L112" s="37">
        <f>IF(BASE!C112="","",IF(BASE!H112="","PENDENTE: tempo padrão",IF(BASE!I112="","tempo real ausente (usa padrão)","")))</f>
        <v/>
      </c>
    </row>
    <row r="113">
      <c r="A113" s="11">
        <f>IF(BASE!A113="","",BASE!A113)</f>
        <v/>
      </c>
      <c r="B113" s="11">
        <f>IF(BASE!B113="","",BASE!B113)</f>
        <v/>
      </c>
      <c r="C113" s="11">
        <f>IF(BASE!C113="","",BASE!C113)</f>
        <v/>
      </c>
      <c r="D113" s="11">
        <f>IF(BASE!D113="","",BASE!D113)</f>
        <v/>
      </c>
      <c r="E113" s="11">
        <f>IF(BASE!E113="","",BASE!E113)</f>
        <v/>
      </c>
      <c r="F113" s="11">
        <f>IF(BASE!F113="","",BASE!F113)</f>
        <v/>
      </c>
      <c r="G113" s="33">
        <f>IF(BASE!H113="","",BASE!H113)</f>
        <v/>
      </c>
      <c r="H113" s="33">
        <f>IF(BASE!I113="","",BASE!I113)</f>
        <v/>
      </c>
      <c r="I113" s="34">
        <f>IF(AND(ISNUMBER(G113),ISNUMBER(H113)),H113-G113,"")</f>
        <v/>
      </c>
      <c r="J113" s="35">
        <f>IF(AND(ISNUMBER(I113),G113&gt;0),I113/G113,"")</f>
        <v/>
      </c>
      <c r="K113" s="36">
        <f>BASE!Q113</f>
        <v/>
      </c>
      <c r="L113" s="37">
        <f>IF(BASE!C113="","",IF(BASE!H113="","PENDENTE: tempo padrão",IF(BASE!I113="","tempo real ausente (usa padrão)","")))</f>
        <v/>
      </c>
    </row>
    <row r="114">
      <c r="A114" s="11">
        <f>IF(BASE!A114="","",BASE!A114)</f>
        <v/>
      </c>
      <c r="B114" s="11">
        <f>IF(BASE!B114="","",BASE!B114)</f>
        <v/>
      </c>
      <c r="C114" s="11">
        <f>IF(BASE!C114="","",BASE!C114)</f>
        <v/>
      </c>
      <c r="D114" s="11">
        <f>IF(BASE!D114="","",BASE!D114)</f>
        <v/>
      </c>
      <c r="E114" s="11">
        <f>IF(BASE!E114="","",BASE!E114)</f>
        <v/>
      </c>
      <c r="F114" s="11">
        <f>IF(BASE!F114="","",BASE!F114)</f>
        <v/>
      </c>
      <c r="G114" s="33">
        <f>IF(BASE!H114="","",BASE!H114)</f>
        <v/>
      </c>
      <c r="H114" s="33">
        <f>IF(BASE!I114="","",BASE!I114)</f>
        <v/>
      </c>
      <c r="I114" s="34">
        <f>IF(AND(ISNUMBER(G114),ISNUMBER(H114)),H114-G114,"")</f>
        <v/>
      </c>
      <c r="J114" s="35">
        <f>IF(AND(ISNUMBER(I114),G114&gt;0),I114/G114,"")</f>
        <v/>
      </c>
      <c r="K114" s="36">
        <f>BASE!Q114</f>
        <v/>
      </c>
      <c r="L114" s="37">
        <f>IF(BASE!C114="","",IF(BASE!H114="","PENDENTE: tempo padrão",IF(BASE!I114="","tempo real ausente (usa padrão)","")))</f>
        <v/>
      </c>
    </row>
    <row r="115">
      <c r="A115" s="11">
        <f>IF(BASE!A115="","",BASE!A115)</f>
        <v/>
      </c>
      <c r="B115" s="11">
        <f>IF(BASE!B115="","",BASE!B115)</f>
        <v/>
      </c>
      <c r="C115" s="11">
        <f>IF(BASE!C115="","",BASE!C115)</f>
        <v/>
      </c>
      <c r="D115" s="11">
        <f>IF(BASE!D115="","",BASE!D115)</f>
        <v/>
      </c>
      <c r="E115" s="11">
        <f>IF(BASE!E115="","",BASE!E115)</f>
        <v/>
      </c>
      <c r="F115" s="11">
        <f>IF(BASE!F115="","",BASE!F115)</f>
        <v/>
      </c>
      <c r="G115" s="33">
        <f>IF(BASE!H115="","",BASE!H115)</f>
        <v/>
      </c>
      <c r="H115" s="33">
        <f>IF(BASE!I115="","",BASE!I115)</f>
        <v/>
      </c>
      <c r="I115" s="34">
        <f>IF(AND(ISNUMBER(G115),ISNUMBER(H115)),H115-G115,"")</f>
        <v/>
      </c>
      <c r="J115" s="35">
        <f>IF(AND(ISNUMBER(I115),G115&gt;0),I115/G115,"")</f>
        <v/>
      </c>
      <c r="K115" s="36">
        <f>BASE!Q115</f>
        <v/>
      </c>
      <c r="L115" s="37">
        <f>IF(BASE!C115="","",IF(BASE!H115="","PENDENTE: tempo padrão",IF(BASE!I115="","tempo real ausente (usa padrão)","")))</f>
        <v/>
      </c>
    </row>
    <row r="116">
      <c r="A116" s="11">
        <f>IF(BASE!A116="","",BASE!A116)</f>
        <v/>
      </c>
      <c r="B116" s="11">
        <f>IF(BASE!B116="","",BASE!B116)</f>
        <v/>
      </c>
      <c r="C116" s="11">
        <f>IF(BASE!C116="","",BASE!C116)</f>
        <v/>
      </c>
      <c r="D116" s="11">
        <f>IF(BASE!D116="","",BASE!D116)</f>
        <v/>
      </c>
      <c r="E116" s="11">
        <f>IF(BASE!E116="","",BASE!E116)</f>
        <v/>
      </c>
      <c r="F116" s="11">
        <f>IF(BASE!F116="","",BASE!F116)</f>
        <v/>
      </c>
      <c r="G116" s="33">
        <f>IF(BASE!H116="","",BASE!H116)</f>
        <v/>
      </c>
      <c r="H116" s="33">
        <f>IF(BASE!I116="","",BASE!I116)</f>
        <v/>
      </c>
      <c r="I116" s="34">
        <f>IF(AND(ISNUMBER(G116),ISNUMBER(H116)),H116-G116,"")</f>
        <v/>
      </c>
      <c r="J116" s="35">
        <f>IF(AND(ISNUMBER(I116),G116&gt;0),I116/G116,"")</f>
        <v/>
      </c>
      <c r="K116" s="36">
        <f>BASE!Q116</f>
        <v/>
      </c>
      <c r="L116" s="37">
        <f>IF(BASE!C116="","",IF(BASE!H116="","PENDENTE: tempo padrão",IF(BASE!I116="","tempo real ausente (usa padrão)","")))</f>
        <v/>
      </c>
    </row>
    <row r="117">
      <c r="A117" s="11">
        <f>IF(BASE!A117="","",BASE!A117)</f>
        <v/>
      </c>
      <c r="B117" s="11">
        <f>IF(BASE!B117="","",BASE!B117)</f>
        <v/>
      </c>
      <c r="C117" s="11">
        <f>IF(BASE!C117="","",BASE!C117)</f>
        <v/>
      </c>
      <c r="D117" s="11">
        <f>IF(BASE!D117="","",BASE!D117)</f>
        <v/>
      </c>
      <c r="E117" s="11">
        <f>IF(BASE!E117="","",BASE!E117)</f>
        <v/>
      </c>
      <c r="F117" s="11">
        <f>IF(BASE!F117="","",BASE!F117)</f>
        <v/>
      </c>
      <c r="G117" s="33">
        <f>IF(BASE!H117="","",BASE!H117)</f>
        <v/>
      </c>
      <c r="H117" s="33">
        <f>IF(BASE!I117="","",BASE!I117)</f>
        <v/>
      </c>
      <c r="I117" s="34">
        <f>IF(AND(ISNUMBER(G117),ISNUMBER(H117)),H117-G117,"")</f>
        <v/>
      </c>
      <c r="J117" s="35">
        <f>IF(AND(ISNUMBER(I117),G117&gt;0),I117/G117,"")</f>
        <v/>
      </c>
      <c r="K117" s="36">
        <f>BASE!Q117</f>
        <v/>
      </c>
      <c r="L117" s="37">
        <f>IF(BASE!C117="","",IF(BASE!H117="","PENDENTE: tempo padrão",IF(BASE!I117="","tempo real ausente (usa padrão)","")))</f>
        <v/>
      </c>
    </row>
    <row r="118">
      <c r="A118" s="11">
        <f>IF(BASE!A118="","",BASE!A118)</f>
        <v/>
      </c>
      <c r="B118" s="11">
        <f>IF(BASE!B118="","",BASE!B118)</f>
        <v/>
      </c>
      <c r="C118" s="11">
        <f>IF(BASE!C118="","",BASE!C118)</f>
        <v/>
      </c>
      <c r="D118" s="11">
        <f>IF(BASE!D118="","",BASE!D118)</f>
        <v/>
      </c>
      <c r="E118" s="11">
        <f>IF(BASE!E118="","",BASE!E118)</f>
        <v/>
      </c>
      <c r="F118" s="11">
        <f>IF(BASE!F118="","",BASE!F118)</f>
        <v/>
      </c>
      <c r="G118" s="33">
        <f>IF(BASE!H118="","",BASE!H118)</f>
        <v/>
      </c>
      <c r="H118" s="33">
        <f>IF(BASE!I118="","",BASE!I118)</f>
        <v/>
      </c>
      <c r="I118" s="34">
        <f>IF(AND(ISNUMBER(G118),ISNUMBER(H118)),H118-G118,"")</f>
        <v/>
      </c>
      <c r="J118" s="35">
        <f>IF(AND(ISNUMBER(I118),G118&gt;0),I118/G118,"")</f>
        <v/>
      </c>
      <c r="K118" s="36">
        <f>BASE!Q118</f>
        <v/>
      </c>
      <c r="L118" s="37">
        <f>IF(BASE!C118="","",IF(BASE!H118="","PENDENTE: tempo padrão",IF(BASE!I118="","tempo real ausente (usa padrão)","")))</f>
        <v/>
      </c>
    </row>
    <row r="119">
      <c r="A119" s="11">
        <f>IF(BASE!A119="","",BASE!A119)</f>
        <v/>
      </c>
      <c r="B119" s="11">
        <f>IF(BASE!B119="","",BASE!B119)</f>
        <v/>
      </c>
      <c r="C119" s="11">
        <f>IF(BASE!C119="","",BASE!C119)</f>
        <v/>
      </c>
      <c r="D119" s="11">
        <f>IF(BASE!D119="","",BASE!D119)</f>
        <v/>
      </c>
      <c r="E119" s="11">
        <f>IF(BASE!E119="","",BASE!E119)</f>
        <v/>
      </c>
      <c r="F119" s="11">
        <f>IF(BASE!F119="","",BASE!F119)</f>
        <v/>
      </c>
      <c r="G119" s="33">
        <f>IF(BASE!H119="","",BASE!H119)</f>
        <v/>
      </c>
      <c r="H119" s="33">
        <f>IF(BASE!I119="","",BASE!I119)</f>
        <v/>
      </c>
      <c r="I119" s="34">
        <f>IF(AND(ISNUMBER(G119),ISNUMBER(H119)),H119-G119,"")</f>
        <v/>
      </c>
      <c r="J119" s="35">
        <f>IF(AND(ISNUMBER(I119),G119&gt;0),I119/G119,"")</f>
        <v/>
      </c>
      <c r="K119" s="36">
        <f>BASE!Q119</f>
        <v/>
      </c>
      <c r="L119" s="37">
        <f>IF(BASE!C119="","",IF(BASE!H119="","PENDENTE: tempo padrão",IF(BASE!I119="","tempo real ausente (usa padrão)","")))</f>
        <v/>
      </c>
    </row>
    <row r="120">
      <c r="A120" s="11">
        <f>IF(BASE!A120="","",BASE!A120)</f>
        <v/>
      </c>
      <c r="B120" s="11">
        <f>IF(BASE!B120="","",BASE!B120)</f>
        <v/>
      </c>
      <c r="C120" s="11">
        <f>IF(BASE!C120="","",BASE!C120)</f>
        <v/>
      </c>
      <c r="D120" s="11">
        <f>IF(BASE!D120="","",BASE!D120)</f>
        <v/>
      </c>
      <c r="E120" s="11">
        <f>IF(BASE!E120="","",BASE!E120)</f>
        <v/>
      </c>
      <c r="F120" s="11">
        <f>IF(BASE!F120="","",BASE!F120)</f>
        <v/>
      </c>
      <c r="G120" s="33">
        <f>IF(BASE!H120="","",BASE!H120)</f>
        <v/>
      </c>
      <c r="H120" s="33">
        <f>IF(BASE!I120="","",BASE!I120)</f>
        <v/>
      </c>
      <c r="I120" s="34">
        <f>IF(AND(ISNUMBER(G120),ISNUMBER(H120)),H120-G120,"")</f>
        <v/>
      </c>
      <c r="J120" s="35">
        <f>IF(AND(ISNUMBER(I120),G120&gt;0),I120/G120,"")</f>
        <v/>
      </c>
      <c r="K120" s="36">
        <f>BASE!Q120</f>
        <v/>
      </c>
      <c r="L120" s="37">
        <f>IF(BASE!C120="","",IF(BASE!H120="","PENDENTE: tempo padrão",IF(BASE!I120="","tempo real ausente (usa padrão)","")))</f>
        <v/>
      </c>
    </row>
    <row r="121">
      <c r="A121" s="11">
        <f>IF(BASE!A121="","",BASE!A121)</f>
        <v/>
      </c>
      <c r="B121" s="11">
        <f>IF(BASE!B121="","",BASE!B121)</f>
        <v/>
      </c>
      <c r="C121" s="11">
        <f>IF(BASE!C121="","",BASE!C121)</f>
        <v/>
      </c>
      <c r="D121" s="11">
        <f>IF(BASE!D121="","",BASE!D121)</f>
        <v/>
      </c>
      <c r="E121" s="11">
        <f>IF(BASE!E121="","",BASE!E121)</f>
        <v/>
      </c>
      <c r="F121" s="11">
        <f>IF(BASE!F121="","",BASE!F121)</f>
        <v/>
      </c>
      <c r="G121" s="33">
        <f>IF(BASE!H121="","",BASE!H121)</f>
        <v/>
      </c>
      <c r="H121" s="33">
        <f>IF(BASE!I121="","",BASE!I121)</f>
        <v/>
      </c>
      <c r="I121" s="34">
        <f>IF(AND(ISNUMBER(G121),ISNUMBER(H121)),H121-G121,"")</f>
        <v/>
      </c>
      <c r="J121" s="35">
        <f>IF(AND(ISNUMBER(I121),G121&gt;0),I121/G121,"")</f>
        <v/>
      </c>
      <c r="K121" s="36">
        <f>BASE!Q121</f>
        <v/>
      </c>
      <c r="L121" s="37">
        <f>IF(BASE!C121="","",IF(BASE!H121="","PENDENTE: tempo padrão",IF(BASE!I121="","tempo real ausente (usa padrão)","")))</f>
        <v/>
      </c>
    </row>
    <row r="122">
      <c r="A122" s="11">
        <f>IF(BASE!A122="","",BASE!A122)</f>
        <v/>
      </c>
      <c r="B122" s="11">
        <f>IF(BASE!B122="","",BASE!B122)</f>
        <v/>
      </c>
      <c r="C122" s="11">
        <f>IF(BASE!C122="","",BASE!C122)</f>
        <v/>
      </c>
      <c r="D122" s="11">
        <f>IF(BASE!D122="","",BASE!D122)</f>
        <v/>
      </c>
      <c r="E122" s="11">
        <f>IF(BASE!E122="","",BASE!E122)</f>
        <v/>
      </c>
      <c r="F122" s="11">
        <f>IF(BASE!F122="","",BASE!F122)</f>
        <v/>
      </c>
      <c r="G122" s="33">
        <f>IF(BASE!H122="","",BASE!H122)</f>
        <v/>
      </c>
      <c r="H122" s="33">
        <f>IF(BASE!I122="","",BASE!I122)</f>
        <v/>
      </c>
      <c r="I122" s="34">
        <f>IF(AND(ISNUMBER(G122),ISNUMBER(H122)),H122-G122,"")</f>
        <v/>
      </c>
      <c r="J122" s="35">
        <f>IF(AND(ISNUMBER(I122),G122&gt;0),I122/G122,"")</f>
        <v/>
      </c>
      <c r="K122" s="36">
        <f>BASE!Q122</f>
        <v/>
      </c>
      <c r="L122" s="37">
        <f>IF(BASE!C122="","",IF(BASE!H122="","PENDENTE: tempo padrão",IF(BASE!I122="","tempo real ausente (usa padrão)","")))</f>
        <v/>
      </c>
    </row>
    <row r="123">
      <c r="A123" s="11">
        <f>IF(BASE!A123="","",BASE!A123)</f>
        <v/>
      </c>
      <c r="B123" s="11">
        <f>IF(BASE!B123="","",BASE!B123)</f>
        <v/>
      </c>
      <c r="C123" s="11">
        <f>IF(BASE!C123="","",BASE!C123)</f>
        <v/>
      </c>
      <c r="D123" s="11">
        <f>IF(BASE!D123="","",BASE!D123)</f>
        <v/>
      </c>
      <c r="E123" s="11">
        <f>IF(BASE!E123="","",BASE!E123)</f>
        <v/>
      </c>
      <c r="F123" s="11">
        <f>IF(BASE!F123="","",BASE!F123)</f>
        <v/>
      </c>
      <c r="G123" s="33">
        <f>IF(BASE!H123="","",BASE!H123)</f>
        <v/>
      </c>
      <c r="H123" s="33">
        <f>IF(BASE!I123="","",BASE!I123)</f>
        <v/>
      </c>
      <c r="I123" s="34">
        <f>IF(AND(ISNUMBER(G123),ISNUMBER(H123)),H123-G123,"")</f>
        <v/>
      </c>
      <c r="J123" s="35">
        <f>IF(AND(ISNUMBER(I123),G123&gt;0),I123/G123,"")</f>
        <v/>
      </c>
      <c r="K123" s="36">
        <f>BASE!Q123</f>
        <v/>
      </c>
      <c r="L123" s="37">
        <f>IF(BASE!C123="","",IF(BASE!H123="","PENDENTE: tempo padrão",IF(BASE!I123="","tempo real ausente (usa padrão)","")))</f>
        <v/>
      </c>
    </row>
    <row r="124">
      <c r="A124" s="11">
        <f>IF(BASE!A124="","",BASE!A124)</f>
        <v/>
      </c>
      <c r="B124" s="11">
        <f>IF(BASE!B124="","",BASE!B124)</f>
        <v/>
      </c>
      <c r="C124" s="11">
        <f>IF(BASE!C124="","",BASE!C124)</f>
        <v/>
      </c>
      <c r="D124" s="11">
        <f>IF(BASE!D124="","",BASE!D124)</f>
        <v/>
      </c>
      <c r="E124" s="11">
        <f>IF(BASE!E124="","",BASE!E124)</f>
        <v/>
      </c>
      <c r="F124" s="11">
        <f>IF(BASE!F124="","",BASE!F124)</f>
        <v/>
      </c>
      <c r="G124" s="33">
        <f>IF(BASE!H124="","",BASE!H124)</f>
        <v/>
      </c>
      <c r="H124" s="33">
        <f>IF(BASE!I124="","",BASE!I124)</f>
        <v/>
      </c>
      <c r="I124" s="34">
        <f>IF(AND(ISNUMBER(G124),ISNUMBER(H124)),H124-G124,"")</f>
        <v/>
      </c>
      <c r="J124" s="35">
        <f>IF(AND(ISNUMBER(I124),G124&gt;0),I124/G124,"")</f>
        <v/>
      </c>
      <c r="K124" s="36">
        <f>BASE!Q124</f>
        <v/>
      </c>
      <c r="L124" s="37">
        <f>IF(BASE!C124="","",IF(BASE!H124="","PENDENTE: tempo padrão",IF(BASE!I124="","tempo real ausente (usa padrão)","")))</f>
        <v/>
      </c>
    </row>
    <row r="125">
      <c r="A125" s="11">
        <f>IF(BASE!A125="","",BASE!A125)</f>
        <v/>
      </c>
      <c r="B125" s="11">
        <f>IF(BASE!B125="","",BASE!B125)</f>
        <v/>
      </c>
      <c r="C125" s="11">
        <f>IF(BASE!C125="","",BASE!C125)</f>
        <v/>
      </c>
      <c r="D125" s="11">
        <f>IF(BASE!D125="","",BASE!D125)</f>
        <v/>
      </c>
      <c r="E125" s="11">
        <f>IF(BASE!E125="","",BASE!E125)</f>
        <v/>
      </c>
      <c r="F125" s="11">
        <f>IF(BASE!F125="","",BASE!F125)</f>
        <v/>
      </c>
      <c r="G125" s="33">
        <f>IF(BASE!H125="","",BASE!H125)</f>
        <v/>
      </c>
      <c r="H125" s="33">
        <f>IF(BASE!I125="","",BASE!I125)</f>
        <v/>
      </c>
      <c r="I125" s="34">
        <f>IF(AND(ISNUMBER(G125),ISNUMBER(H125)),H125-G125,"")</f>
        <v/>
      </c>
      <c r="J125" s="35">
        <f>IF(AND(ISNUMBER(I125),G125&gt;0),I125/G125,"")</f>
        <v/>
      </c>
      <c r="K125" s="36">
        <f>BASE!Q125</f>
        <v/>
      </c>
      <c r="L125" s="37">
        <f>IF(BASE!C125="","",IF(BASE!H125="","PENDENTE: tempo padrão",IF(BASE!I125="","tempo real ausente (usa padrão)","")))</f>
        <v/>
      </c>
    </row>
    <row r="126">
      <c r="A126" s="11">
        <f>IF(BASE!A126="","",BASE!A126)</f>
        <v/>
      </c>
      <c r="B126" s="11">
        <f>IF(BASE!B126="","",BASE!B126)</f>
        <v/>
      </c>
      <c r="C126" s="11">
        <f>IF(BASE!C126="","",BASE!C126)</f>
        <v/>
      </c>
      <c r="D126" s="11">
        <f>IF(BASE!D126="","",BASE!D126)</f>
        <v/>
      </c>
      <c r="E126" s="11">
        <f>IF(BASE!E126="","",BASE!E126)</f>
        <v/>
      </c>
      <c r="F126" s="11">
        <f>IF(BASE!F126="","",BASE!F126)</f>
        <v/>
      </c>
      <c r="G126" s="33">
        <f>IF(BASE!H126="","",BASE!H126)</f>
        <v/>
      </c>
      <c r="H126" s="33">
        <f>IF(BASE!I126="","",BASE!I126)</f>
        <v/>
      </c>
      <c r="I126" s="34">
        <f>IF(AND(ISNUMBER(G126),ISNUMBER(H126)),H126-G126,"")</f>
        <v/>
      </c>
      <c r="J126" s="35">
        <f>IF(AND(ISNUMBER(I126),G126&gt;0),I126/G126,"")</f>
        <v/>
      </c>
      <c r="K126" s="36">
        <f>BASE!Q126</f>
        <v/>
      </c>
      <c r="L126" s="37">
        <f>IF(BASE!C126="","",IF(BASE!H126="","PENDENTE: tempo padrão",IF(BASE!I126="","tempo real ausente (usa padrão)","")))</f>
        <v/>
      </c>
    </row>
    <row r="127">
      <c r="A127" s="11">
        <f>IF(BASE!A127="","",BASE!A127)</f>
        <v/>
      </c>
      <c r="B127" s="11">
        <f>IF(BASE!B127="","",BASE!B127)</f>
        <v/>
      </c>
      <c r="C127" s="11">
        <f>IF(BASE!C127="","",BASE!C127)</f>
        <v/>
      </c>
      <c r="D127" s="11">
        <f>IF(BASE!D127="","",BASE!D127)</f>
        <v/>
      </c>
      <c r="E127" s="11">
        <f>IF(BASE!E127="","",BASE!E127)</f>
        <v/>
      </c>
      <c r="F127" s="11">
        <f>IF(BASE!F127="","",BASE!F127)</f>
        <v/>
      </c>
      <c r="G127" s="33">
        <f>IF(BASE!H127="","",BASE!H127)</f>
        <v/>
      </c>
      <c r="H127" s="33">
        <f>IF(BASE!I127="","",BASE!I127)</f>
        <v/>
      </c>
      <c r="I127" s="34">
        <f>IF(AND(ISNUMBER(G127),ISNUMBER(H127)),H127-G127,"")</f>
        <v/>
      </c>
      <c r="J127" s="35">
        <f>IF(AND(ISNUMBER(I127),G127&gt;0),I127/G127,"")</f>
        <v/>
      </c>
      <c r="K127" s="36">
        <f>BASE!Q127</f>
        <v/>
      </c>
      <c r="L127" s="37">
        <f>IF(BASE!C127="","",IF(BASE!H127="","PENDENTE: tempo padrão",IF(BASE!I127="","tempo real ausente (usa padrão)","")))</f>
        <v/>
      </c>
    </row>
    <row r="128">
      <c r="A128" s="11">
        <f>IF(BASE!A128="","",BASE!A128)</f>
        <v/>
      </c>
      <c r="B128" s="11">
        <f>IF(BASE!B128="","",BASE!B128)</f>
        <v/>
      </c>
      <c r="C128" s="11">
        <f>IF(BASE!C128="","",BASE!C128)</f>
        <v/>
      </c>
      <c r="D128" s="11">
        <f>IF(BASE!D128="","",BASE!D128)</f>
        <v/>
      </c>
      <c r="E128" s="11">
        <f>IF(BASE!E128="","",BASE!E128)</f>
        <v/>
      </c>
      <c r="F128" s="11">
        <f>IF(BASE!F128="","",BASE!F128)</f>
        <v/>
      </c>
      <c r="G128" s="33">
        <f>IF(BASE!H128="","",BASE!H128)</f>
        <v/>
      </c>
      <c r="H128" s="33">
        <f>IF(BASE!I128="","",BASE!I128)</f>
        <v/>
      </c>
      <c r="I128" s="34">
        <f>IF(AND(ISNUMBER(G128),ISNUMBER(H128)),H128-G128,"")</f>
        <v/>
      </c>
      <c r="J128" s="35">
        <f>IF(AND(ISNUMBER(I128),G128&gt;0),I128/G128,"")</f>
        <v/>
      </c>
      <c r="K128" s="36">
        <f>BASE!Q128</f>
        <v/>
      </c>
      <c r="L128" s="37">
        <f>IF(BASE!C128="","",IF(BASE!H128="","PENDENTE: tempo padrão",IF(BASE!I128="","tempo real ausente (usa padrão)","")))</f>
        <v/>
      </c>
    </row>
    <row r="129">
      <c r="A129" s="11">
        <f>IF(BASE!A129="","",BASE!A129)</f>
        <v/>
      </c>
      <c r="B129" s="11">
        <f>IF(BASE!B129="","",BASE!B129)</f>
        <v/>
      </c>
      <c r="C129" s="11">
        <f>IF(BASE!C129="","",BASE!C129)</f>
        <v/>
      </c>
      <c r="D129" s="11">
        <f>IF(BASE!D129="","",BASE!D129)</f>
        <v/>
      </c>
      <c r="E129" s="11">
        <f>IF(BASE!E129="","",BASE!E129)</f>
        <v/>
      </c>
      <c r="F129" s="11">
        <f>IF(BASE!F129="","",BASE!F129)</f>
        <v/>
      </c>
      <c r="G129" s="33">
        <f>IF(BASE!H129="","",BASE!H129)</f>
        <v/>
      </c>
      <c r="H129" s="33">
        <f>IF(BASE!I129="","",BASE!I129)</f>
        <v/>
      </c>
      <c r="I129" s="34">
        <f>IF(AND(ISNUMBER(G129),ISNUMBER(H129)),H129-G129,"")</f>
        <v/>
      </c>
      <c r="J129" s="35">
        <f>IF(AND(ISNUMBER(I129),G129&gt;0),I129/G129,"")</f>
        <v/>
      </c>
      <c r="K129" s="36">
        <f>BASE!Q129</f>
        <v/>
      </c>
      <c r="L129" s="37">
        <f>IF(BASE!C129="","",IF(BASE!H129="","PENDENTE: tempo padrão",IF(BASE!I129="","tempo real ausente (usa padrão)","")))</f>
        <v/>
      </c>
    </row>
    <row r="130">
      <c r="A130" s="11">
        <f>IF(BASE!A130="","",BASE!A130)</f>
        <v/>
      </c>
      <c r="B130" s="11">
        <f>IF(BASE!B130="","",BASE!B130)</f>
        <v/>
      </c>
      <c r="C130" s="11">
        <f>IF(BASE!C130="","",BASE!C130)</f>
        <v/>
      </c>
      <c r="D130" s="11">
        <f>IF(BASE!D130="","",BASE!D130)</f>
        <v/>
      </c>
      <c r="E130" s="11">
        <f>IF(BASE!E130="","",BASE!E130)</f>
        <v/>
      </c>
      <c r="F130" s="11">
        <f>IF(BASE!F130="","",BASE!F130)</f>
        <v/>
      </c>
      <c r="G130" s="33">
        <f>IF(BASE!H130="","",BASE!H130)</f>
        <v/>
      </c>
      <c r="H130" s="33">
        <f>IF(BASE!I130="","",BASE!I130)</f>
        <v/>
      </c>
      <c r="I130" s="34">
        <f>IF(AND(ISNUMBER(G130),ISNUMBER(H130)),H130-G130,"")</f>
        <v/>
      </c>
      <c r="J130" s="35">
        <f>IF(AND(ISNUMBER(I130),G130&gt;0),I130/G130,"")</f>
        <v/>
      </c>
      <c r="K130" s="36">
        <f>BASE!Q130</f>
        <v/>
      </c>
      <c r="L130" s="37">
        <f>IF(BASE!C130="","",IF(BASE!H130="","PENDENTE: tempo padrão",IF(BASE!I130="","tempo real ausente (usa padrão)","")))</f>
        <v/>
      </c>
    </row>
    <row r="131">
      <c r="A131" s="11">
        <f>IF(BASE!A131="","",BASE!A131)</f>
        <v/>
      </c>
      <c r="B131" s="11">
        <f>IF(BASE!B131="","",BASE!B131)</f>
        <v/>
      </c>
      <c r="C131" s="11">
        <f>IF(BASE!C131="","",BASE!C131)</f>
        <v/>
      </c>
      <c r="D131" s="11">
        <f>IF(BASE!D131="","",BASE!D131)</f>
        <v/>
      </c>
      <c r="E131" s="11">
        <f>IF(BASE!E131="","",BASE!E131)</f>
        <v/>
      </c>
      <c r="F131" s="11">
        <f>IF(BASE!F131="","",BASE!F131)</f>
        <v/>
      </c>
      <c r="G131" s="33">
        <f>IF(BASE!H131="","",BASE!H131)</f>
        <v/>
      </c>
      <c r="H131" s="33">
        <f>IF(BASE!I131="","",BASE!I131)</f>
        <v/>
      </c>
      <c r="I131" s="34">
        <f>IF(AND(ISNUMBER(G131),ISNUMBER(H131)),H131-G131,"")</f>
        <v/>
      </c>
      <c r="J131" s="35">
        <f>IF(AND(ISNUMBER(I131),G131&gt;0),I131/G131,"")</f>
        <v/>
      </c>
      <c r="K131" s="36">
        <f>BASE!Q131</f>
        <v/>
      </c>
      <c r="L131" s="37">
        <f>IF(BASE!C131="","",IF(BASE!H131="","PENDENTE: tempo padrão",IF(BASE!I131="","tempo real ausente (usa padrão)","")))</f>
        <v/>
      </c>
    </row>
    <row r="132">
      <c r="A132" s="11">
        <f>IF(BASE!A132="","",BASE!A132)</f>
        <v/>
      </c>
      <c r="B132" s="11">
        <f>IF(BASE!B132="","",BASE!B132)</f>
        <v/>
      </c>
      <c r="C132" s="11">
        <f>IF(BASE!C132="","",BASE!C132)</f>
        <v/>
      </c>
      <c r="D132" s="11">
        <f>IF(BASE!D132="","",BASE!D132)</f>
        <v/>
      </c>
      <c r="E132" s="11">
        <f>IF(BASE!E132="","",BASE!E132)</f>
        <v/>
      </c>
      <c r="F132" s="11">
        <f>IF(BASE!F132="","",BASE!F132)</f>
        <v/>
      </c>
      <c r="G132" s="33">
        <f>IF(BASE!H132="","",BASE!H132)</f>
        <v/>
      </c>
      <c r="H132" s="33">
        <f>IF(BASE!I132="","",BASE!I132)</f>
        <v/>
      </c>
      <c r="I132" s="34">
        <f>IF(AND(ISNUMBER(G132),ISNUMBER(H132)),H132-G132,"")</f>
        <v/>
      </c>
      <c r="J132" s="35">
        <f>IF(AND(ISNUMBER(I132),G132&gt;0),I132/G132,"")</f>
        <v/>
      </c>
      <c r="K132" s="36">
        <f>BASE!Q132</f>
        <v/>
      </c>
      <c r="L132" s="37">
        <f>IF(BASE!C132="","",IF(BASE!H132="","PENDENTE: tempo padrão",IF(BASE!I132="","tempo real ausente (usa padrão)","")))</f>
        <v/>
      </c>
    </row>
    <row r="133">
      <c r="A133" s="11">
        <f>IF(BASE!A133="","",BASE!A133)</f>
        <v/>
      </c>
      <c r="B133" s="11">
        <f>IF(BASE!B133="","",BASE!B133)</f>
        <v/>
      </c>
      <c r="C133" s="11">
        <f>IF(BASE!C133="","",BASE!C133)</f>
        <v/>
      </c>
      <c r="D133" s="11">
        <f>IF(BASE!D133="","",BASE!D133)</f>
        <v/>
      </c>
      <c r="E133" s="11">
        <f>IF(BASE!E133="","",BASE!E133)</f>
        <v/>
      </c>
      <c r="F133" s="11">
        <f>IF(BASE!F133="","",BASE!F133)</f>
        <v/>
      </c>
      <c r="G133" s="33">
        <f>IF(BASE!H133="","",BASE!H133)</f>
        <v/>
      </c>
      <c r="H133" s="33">
        <f>IF(BASE!I133="","",BASE!I133)</f>
        <v/>
      </c>
      <c r="I133" s="34">
        <f>IF(AND(ISNUMBER(G133),ISNUMBER(H133)),H133-G133,"")</f>
        <v/>
      </c>
      <c r="J133" s="35">
        <f>IF(AND(ISNUMBER(I133),G133&gt;0),I133/G133,"")</f>
        <v/>
      </c>
      <c r="K133" s="36">
        <f>BASE!Q133</f>
        <v/>
      </c>
      <c r="L133" s="37">
        <f>IF(BASE!C133="","",IF(BASE!H133="","PENDENTE: tempo padrão",IF(BASE!I133="","tempo real ausente (usa padrão)","")))</f>
        <v/>
      </c>
    </row>
    <row r="134">
      <c r="A134" s="11">
        <f>IF(BASE!A134="","",BASE!A134)</f>
        <v/>
      </c>
      <c r="B134" s="11">
        <f>IF(BASE!B134="","",BASE!B134)</f>
        <v/>
      </c>
      <c r="C134" s="11">
        <f>IF(BASE!C134="","",BASE!C134)</f>
        <v/>
      </c>
      <c r="D134" s="11">
        <f>IF(BASE!D134="","",BASE!D134)</f>
        <v/>
      </c>
      <c r="E134" s="11">
        <f>IF(BASE!E134="","",BASE!E134)</f>
        <v/>
      </c>
      <c r="F134" s="11">
        <f>IF(BASE!F134="","",BASE!F134)</f>
        <v/>
      </c>
      <c r="G134" s="33">
        <f>IF(BASE!H134="","",BASE!H134)</f>
        <v/>
      </c>
      <c r="H134" s="33">
        <f>IF(BASE!I134="","",BASE!I134)</f>
        <v/>
      </c>
      <c r="I134" s="34">
        <f>IF(AND(ISNUMBER(G134),ISNUMBER(H134)),H134-G134,"")</f>
        <v/>
      </c>
      <c r="J134" s="35">
        <f>IF(AND(ISNUMBER(I134),G134&gt;0),I134/G134,"")</f>
        <v/>
      </c>
      <c r="K134" s="36">
        <f>BASE!Q134</f>
        <v/>
      </c>
      <c r="L134" s="37">
        <f>IF(BASE!C134="","",IF(BASE!H134="","PENDENTE: tempo padrão",IF(BASE!I134="","tempo real ausente (usa padrão)","")))</f>
        <v/>
      </c>
    </row>
    <row r="135">
      <c r="A135" s="11">
        <f>IF(BASE!A135="","",BASE!A135)</f>
        <v/>
      </c>
      <c r="B135" s="11">
        <f>IF(BASE!B135="","",BASE!B135)</f>
        <v/>
      </c>
      <c r="C135" s="11">
        <f>IF(BASE!C135="","",BASE!C135)</f>
        <v/>
      </c>
      <c r="D135" s="11">
        <f>IF(BASE!D135="","",BASE!D135)</f>
        <v/>
      </c>
      <c r="E135" s="11">
        <f>IF(BASE!E135="","",BASE!E135)</f>
        <v/>
      </c>
      <c r="F135" s="11">
        <f>IF(BASE!F135="","",BASE!F135)</f>
        <v/>
      </c>
      <c r="G135" s="33">
        <f>IF(BASE!H135="","",BASE!H135)</f>
        <v/>
      </c>
      <c r="H135" s="33">
        <f>IF(BASE!I135="","",BASE!I135)</f>
        <v/>
      </c>
      <c r="I135" s="34">
        <f>IF(AND(ISNUMBER(G135),ISNUMBER(H135)),H135-G135,"")</f>
        <v/>
      </c>
      <c r="J135" s="35">
        <f>IF(AND(ISNUMBER(I135),G135&gt;0),I135/G135,"")</f>
        <v/>
      </c>
      <c r="K135" s="36">
        <f>BASE!Q135</f>
        <v/>
      </c>
      <c r="L135" s="37">
        <f>IF(BASE!C135="","",IF(BASE!H135="","PENDENTE: tempo padrão",IF(BASE!I135="","tempo real ausente (usa padrão)","")))</f>
        <v/>
      </c>
    </row>
    <row r="136">
      <c r="A136" s="11">
        <f>IF(BASE!A136="","",BASE!A136)</f>
        <v/>
      </c>
      <c r="B136" s="11">
        <f>IF(BASE!B136="","",BASE!B136)</f>
        <v/>
      </c>
      <c r="C136" s="11">
        <f>IF(BASE!C136="","",BASE!C136)</f>
        <v/>
      </c>
      <c r="D136" s="11">
        <f>IF(BASE!D136="","",BASE!D136)</f>
        <v/>
      </c>
      <c r="E136" s="11">
        <f>IF(BASE!E136="","",BASE!E136)</f>
        <v/>
      </c>
      <c r="F136" s="11">
        <f>IF(BASE!F136="","",BASE!F136)</f>
        <v/>
      </c>
      <c r="G136" s="33">
        <f>IF(BASE!H136="","",BASE!H136)</f>
        <v/>
      </c>
      <c r="H136" s="33">
        <f>IF(BASE!I136="","",BASE!I136)</f>
        <v/>
      </c>
      <c r="I136" s="34">
        <f>IF(AND(ISNUMBER(G136),ISNUMBER(H136)),H136-G136,"")</f>
        <v/>
      </c>
      <c r="J136" s="35">
        <f>IF(AND(ISNUMBER(I136),G136&gt;0),I136/G136,"")</f>
        <v/>
      </c>
      <c r="K136" s="36">
        <f>BASE!Q136</f>
        <v/>
      </c>
      <c r="L136" s="37">
        <f>IF(BASE!C136="","",IF(BASE!H136="","PENDENTE: tempo padrão",IF(BASE!I136="","tempo real ausente (usa padrão)","")))</f>
        <v/>
      </c>
    </row>
    <row r="137">
      <c r="A137" s="11">
        <f>IF(BASE!A137="","",BASE!A137)</f>
        <v/>
      </c>
      <c r="B137" s="11">
        <f>IF(BASE!B137="","",BASE!B137)</f>
        <v/>
      </c>
      <c r="C137" s="11">
        <f>IF(BASE!C137="","",BASE!C137)</f>
        <v/>
      </c>
      <c r="D137" s="11">
        <f>IF(BASE!D137="","",BASE!D137)</f>
        <v/>
      </c>
      <c r="E137" s="11">
        <f>IF(BASE!E137="","",BASE!E137)</f>
        <v/>
      </c>
      <c r="F137" s="11">
        <f>IF(BASE!F137="","",BASE!F137)</f>
        <v/>
      </c>
      <c r="G137" s="33">
        <f>IF(BASE!H137="","",BASE!H137)</f>
        <v/>
      </c>
      <c r="H137" s="33">
        <f>IF(BASE!I137="","",BASE!I137)</f>
        <v/>
      </c>
      <c r="I137" s="34">
        <f>IF(AND(ISNUMBER(G137),ISNUMBER(H137)),H137-G137,"")</f>
        <v/>
      </c>
      <c r="J137" s="35">
        <f>IF(AND(ISNUMBER(I137),G137&gt;0),I137/G137,"")</f>
        <v/>
      </c>
      <c r="K137" s="36">
        <f>BASE!Q137</f>
        <v/>
      </c>
      <c r="L137" s="37">
        <f>IF(BASE!C137="","",IF(BASE!H137="","PENDENTE: tempo padrão",IF(BASE!I137="","tempo real ausente (usa padrão)","")))</f>
        <v/>
      </c>
    </row>
    <row r="138">
      <c r="A138" s="11">
        <f>IF(BASE!A138="","",BASE!A138)</f>
        <v/>
      </c>
      <c r="B138" s="11">
        <f>IF(BASE!B138="","",BASE!B138)</f>
        <v/>
      </c>
      <c r="C138" s="11">
        <f>IF(BASE!C138="","",BASE!C138)</f>
        <v/>
      </c>
      <c r="D138" s="11">
        <f>IF(BASE!D138="","",BASE!D138)</f>
        <v/>
      </c>
      <c r="E138" s="11">
        <f>IF(BASE!E138="","",BASE!E138)</f>
        <v/>
      </c>
      <c r="F138" s="11">
        <f>IF(BASE!F138="","",BASE!F138)</f>
        <v/>
      </c>
      <c r="G138" s="33">
        <f>IF(BASE!H138="","",BASE!H138)</f>
        <v/>
      </c>
      <c r="H138" s="33">
        <f>IF(BASE!I138="","",BASE!I138)</f>
        <v/>
      </c>
      <c r="I138" s="34">
        <f>IF(AND(ISNUMBER(G138),ISNUMBER(H138)),H138-G138,"")</f>
        <v/>
      </c>
      <c r="J138" s="35">
        <f>IF(AND(ISNUMBER(I138),G138&gt;0),I138/G138,"")</f>
        <v/>
      </c>
      <c r="K138" s="36">
        <f>BASE!Q138</f>
        <v/>
      </c>
      <c r="L138" s="37">
        <f>IF(BASE!C138="","",IF(BASE!H138="","PENDENTE: tempo padrão",IF(BASE!I138="","tempo real ausente (usa padrão)","")))</f>
        <v/>
      </c>
    </row>
    <row r="139">
      <c r="A139" s="11">
        <f>IF(BASE!A139="","",BASE!A139)</f>
        <v/>
      </c>
      <c r="B139" s="11">
        <f>IF(BASE!B139="","",BASE!B139)</f>
        <v/>
      </c>
      <c r="C139" s="11">
        <f>IF(BASE!C139="","",BASE!C139)</f>
        <v/>
      </c>
      <c r="D139" s="11">
        <f>IF(BASE!D139="","",BASE!D139)</f>
        <v/>
      </c>
      <c r="E139" s="11">
        <f>IF(BASE!E139="","",BASE!E139)</f>
        <v/>
      </c>
      <c r="F139" s="11">
        <f>IF(BASE!F139="","",BASE!F139)</f>
        <v/>
      </c>
      <c r="G139" s="33">
        <f>IF(BASE!H139="","",BASE!H139)</f>
        <v/>
      </c>
      <c r="H139" s="33">
        <f>IF(BASE!I139="","",BASE!I139)</f>
        <v/>
      </c>
      <c r="I139" s="34">
        <f>IF(AND(ISNUMBER(G139),ISNUMBER(H139)),H139-G139,"")</f>
        <v/>
      </c>
      <c r="J139" s="35">
        <f>IF(AND(ISNUMBER(I139),G139&gt;0),I139/G139,"")</f>
        <v/>
      </c>
      <c r="K139" s="36">
        <f>BASE!Q139</f>
        <v/>
      </c>
      <c r="L139" s="37">
        <f>IF(BASE!C139="","",IF(BASE!H139="","PENDENTE: tempo padrão",IF(BASE!I139="","tempo real ausente (usa padrão)","")))</f>
        <v/>
      </c>
    </row>
    <row r="140">
      <c r="A140" s="11">
        <f>IF(BASE!A140="","",BASE!A140)</f>
        <v/>
      </c>
      <c r="B140" s="11">
        <f>IF(BASE!B140="","",BASE!B140)</f>
        <v/>
      </c>
      <c r="C140" s="11">
        <f>IF(BASE!C140="","",BASE!C140)</f>
        <v/>
      </c>
      <c r="D140" s="11">
        <f>IF(BASE!D140="","",BASE!D140)</f>
        <v/>
      </c>
      <c r="E140" s="11">
        <f>IF(BASE!E140="","",BASE!E140)</f>
        <v/>
      </c>
      <c r="F140" s="11">
        <f>IF(BASE!F140="","",BASE!F140)</f>
        <v/>
      </c>
      <c r="G140" s="33">
        <f>IF(BASE!H140="","",BASE!H140)</f>
        <v/>
      </c>
      <c r="H140" s="33">
        <f>IF(BASE!I140="","",BASE!I140)</f>
        <v/>
      </c>
      <c r="I140" s="34">
        <f>IF(AND(ISNUMBER(G140),ISNUMBER(H140)),H140-G140,"")</f>
        <v/>
      </c>
      <c r="J140" s="35">
        <f>IF(AND(ISNUMBER(I140),G140&gt;0),I140/G140,"")</f>
        <v/>
      </c>
      <c r="K140" s="36">
        <f>BASE!Q140</f>
        <v/>
      </c>
      <c r="L140" s="37">
        <f>IF(BASE!C140="","",IF(BASE!H140="","PENDENTE: tempo padrão",IF(BASE!I140="","tempo real ausente (usa padrão)","")))</f>
        <v/>
      </c>
    </row>
    <row r="141">
      <c r="A141" s="11">
        <f>IF(BASE!A141="","",BASE!A141)</f>
        <v/>
      </c>
      <c r="B141" s="11">
        <f>IF(BASE!B141="","",BASE!B141)</f>
        <v/>
      </c>
      <c r="C141" s="11">
        <f>IF(BASE!C141="","",BASE!C141)</f>
        <v/>
      </c>
      <c r="D141" s="11">
        <f>IF(BASE!D141="","",BASE!D141)</f>
        <v/>
      </c>
      <c r="E141" s="11">
        <f>IF(BASE!E141="","",BASE!E141)</f>
        <v/>
      </c>
      <c r="F141" s="11">
        <f>IF(BASE!F141="","",BASE!F141)</f>
        <v/>
      </c>
      <c r="G141" s="33">
        <f>IF(BASE!H141="","",BASE!H141)</f>
        <v/>
      </c>
      <c r="H141" s="33">
        <f>IF(BASE!I141="","",BASE!I141)</f>
        <v/>
      </c>
      <c r="I141" s="34">
        <f>IF(AND(ISNUMBER(G141),ISNUMBER(H141)),H141-G141,"")</f>
        <v/>
      </c>
      <c r="J141" s="35">
        <f>IF(AND(ISNUMBER(I141),G141&gt;0),I141/G141,"")</f>
        <v/>
      </c>
      <c r="K141" s="36">
        <f>BASE!Q141</f>
        <v/>
      </c>
      <c r="L141" s="37">
        <f>IF(BASE!C141="","",IF(BASE!H141="","PENDENTE: tempo padrão",IF(BASE!I141="","tempo real ausente (usa padrão)","")))</f>
        <v/>
      </c>
    </row>
    <row r="142">
      <c r="A142" s="11">
        <f>IF(BASE!A142="","",BASE!A142)</f>
        <v/>
      </c>
      <c r="B142" s="11">
        <f>IF(BASE!B142="","",BASE!B142)</f>
        <v/>
      </c>
      <c r="C142" s="11">
        <f>IF(BASE!C142="","",BASE!C142)</f>
        <v/>
      </c>
      <c r="D142" s="11">
        <f>IF(BASE!D142="","",BASE!D142)</f>
        <v/>
      </c>
      <c r="E142" s="11">
        <f>IF(BASE!E142="","",BASE!E142)</f>
        <v/>
      </c>
      <c r="F142" s="11">
        <f>IF(BASE!F142="","",BASE!F142)</f>
        <v/>
      </c>
      <c r="G142" s="33">
        <f>IF(BASE!H142="","",BASE!H142)</f>
        <v/>
      </c>
      <c r="H142" s="33">
        <f>IF(BASE!I142="","",BASE!I142)</f>
        <v/>
      </c>
      <c r="I142" s="34">
        <f>IF(AND(ISNUMBER(G142),ISNUMBER(H142)),H142-G142,"")</f>
        <v/>
      </c>
      <c r="J142" s="35">
        <f>IF(AND(ISNUMBER(I142),G142&gt;0),I142/G142,"")</f>
        <v/>
      </c>
      <c r="K142" s="36">
        <f>BASE!Q142</f>
        <v/>
      </c>
      <c r="L142" s="37">
        <f>IF(BASE!C142="","",IF(BASE!H142="","PENDENTE: tempo padrão",IF(BASE!I142="","tempo real ausente (usa padrão)","")))</f>
        <v/>
      </c>
    </row>
    <row r="143">
      <c r="A143" s="11">
        <f>IF(BASE!A143="","",BASE!A143)</f>
        <v/>
      </c>
      <c r="B143" s="11">
        <f>IF(BASE!B143="","",BASE!B143)</f>
        <v/>
      </c>
      <c r="C143" s="11">
        <f>IF(BASE!C143="","",BASE!C143)</f>
        <v/>
      </c>
      <c r="D143" s="11">
        <f>IF(BASE!D143="","",BASE!D143)</f>
        <v/>
      </c>
      <c r="E143" s="11">
        <f>IF(BASE!E143="","",BASE!E143)</f>
        <v/>
      </c>
      <c r="F143" s="11">
        <f>IF(BASE!F143="","",BASE!F143)</f>
        <v/>
      </c>
      <c r="G143" s="33">
        <f>IF(BASE!H143="","",BASE!H143)</f>
        <v/>
      </c>
      <c r="H143" s="33">
        <f>IF(BASE!I143="","",BASE!I143)</f>
        <v/>
      </c>
      <c r="I143" s="34">
        <f>IF(AND(ISNUMBER(G143),ISNUMBER(H143)),H143-G143,"")</f>
        <v/>
      </c>
      <c r="J143" s="35">
        <f>IF(AND(ISNUMBER(I143),G143&gt;0),I143/G143,"")</f>
        <v/>
      </c>
      <c r="K143" s="36">
        <f>BASE!Q143</f>
        <v/>
      </c>
      <c r="L143" s="37">
        <f>IF(BASE!C143="","",IF(BASE!H143="","PENDENTE: tempo padrão",IF(BASE!I143="","tempo real ausente (usa padrão)","")))</f>
        <v/>
      </c>
    </row>
    <row r="144">
      <c r="A144" s="11">
        <f>IF(BASE!A144="","",BASE!A144)</f>
        <v/>
      </c>
      <c r="B144" s="11">
        <f>IF(BASE!B144="","",BASE!B144)</f>
        <v/>
      </c>
      <c r="C144" s="11">
        <f>IF(BASE!C144="","",BASE!C144)</f>
        <v/>
      </c>
      <c r="D144" s="11">
        <f>IF(BASE!D144="","",BASE!D144)</f>
        <v/>
      </c>
      <c r="E144" s="11">
        <f>IF(BASE!E144="","",BASE!E144)</f>
        <v/>
      </c>
      <c r="F144" s="11">
        <f>IF(BASE!F144="","",BASE!F144)</f>
        <v/>
      </c>
      <c r="G144" s="33">
        <f>IF(BASE!H144="","",BASE!H144)</f>
        <v/>
      </c>
      <c r="H144" s="33">
        <f>IF(BASE!I144="","",BASE!I144)</f>
        <v/>
      </c>
      <c r="I144" s="34">
        <f>IF(AND(ISNUMBER(G144),ISNUMBER(H144)),H144-G144,"")</f>
        <v/>
      </c>
      <c r="J144" s="35">
        <f>IF(AND(ISNUMBER(I144),G144&gt;0),I144/G144,"")</f>
        <v/>
      </c>
      <c r="K144" s="36">
        <f>BASE!Q144</f>
        <v/>
      </c>
      <c r="L144" s="37">
        <f>IF(BASE!C144="","",IF(BASE!H144="","PENDENTE: tempo padrão",IF(BASE!I144="","tempo real ausente (usa padrão)","")))</f>
        <v/>
      </c>
    </row>
    <row r="145">
      <c r="A145" s="11">
        <f>IF(BASE!A145="","",BASE!A145)</f>
        <v/>
      </c>
      <c r="B145" s="11">
        <f>IF(BASE!B145="","",BASE!B145)</f>
        <v/>
      </c>
      <c r="C145" s="11">
        <f>IF(BASE!C145="","",BASE!C145)</f>
        <v/>
      </c>
      <c r="D145" s="11">
        <f>IF(BASE!D145="","",BASE!D145)</f>
        <v/>
      </c>
      <c r="E145" s="11">
        <f>IF(BASE!E145="","",BASE!E145)</f>
        <v/>
      </c>
      <c r="F145" s="11">
        <f>IF(BASE!F145="","",BASE!F145)</f>
        <v/>
      </c>
      <c r="G145" s="33">
        <f>IF(BASE!H145="","",BASE!H145)</f>
        <v/>
      </c>
      <c r="H145" s="33">
        <f>IF(BASE!I145="","",BASE!I145)</f>
        <v/>
      </c>
      <c r="I145" s="34">
        <f>IF(AND(ISNUMBER(G145),ISNUMBER(H145)),H145-G145,"")</f>
        <v/>
      </c>
      <c r="J145" s="35">
        <f>IF(AND(ISNUMBER(I145),G145&gt;0),I145/G145,"")</f>
        <v/>
      </c>
      <c r="K145" s="36">
        <f>BASE!Q145</f>
        <v/>
      </c>
      <c r="L145" s="37">
        <f>IF(BASE!C145="","",IF(BASE!H145="","PENDENTE: tempo padrão",IF(BASE!I145="","tempo real ausente (usa padrão)","")))</f>
        <v/>
      </c>
    </row>
    <row r="146">
      <c r="A146" s="11">
        <f>IF(BASE!A146="","",BASE!A146)</f>
        <v/>
      </c>
      <c r="B146" s="11">
        <f>IF(BASE!B146="","",BASE!B146)</f>
        <v/>
      </c>
      <c r="C146" s="11">
        <f>IF(BASE!C146="","",BASE!C146)</f>
        <v/>
      </c>
      <c r="D146" s="11">
        <f>IF(BASE!D146="","",BASE!D146)</f>
        <v/>
      </c>
      <c r="E146" s="11">
        <f>IF(BASE!E146="","",BASE!E146)</f>
        <v/>
      </c>
      <c r="F146" s="11">
        <f>IF(BASE!F146="","",BASE!F146)</f>
        <v/>
      </c>
      <c r="G146" s="33">
        <f>IF(BASE!H146="","",BASE!H146)</f>
        <v/>
      </c>
      <c r="H146" s="33">
        <f>IF(BASE!I146="","",BASE!I146)</f>
        <v/>
      </c>
      <c r="I146" s="34">
        <f>IF(AND(ISNUMBER(G146),ISNUMBER(H146)),H146-G146,"")</f>
        <v/>
      </c>
      <c r="J146" s="35">
        <f>IF(AND(ISNUMBER(I146),G146&gt;0),I146/G146,"")</f>
        <v/>
      </c>
      <c r="K146" s="36">
        <f>BASE!Q146</f>
        <v/>
      </c>
      <c r="L146" s="37">
        <f>IF(BASE!C146="","",IF(BASE!H146="","PENDENTE: tempo padrão",IF(BASE!I146="","tempo real ausente (usa padrão)","")))</f>
        <v/>
      </c>
    </row>
    <row r="147">
      <c r="A147" s="11">
        <f>IF(BASE!A147="","",BASE!A147)</f>
        <v/>
      </c>
      <c r="B147" s="11">
        <f>IF(BASE!B147="","",BASE!B147)</f>
        <v/>
      </c>
      <c r="C147" s="11">
        <f>IF(BASE!C147="","",BASE!C147)</f>
        <v/>
      </c>
      <c r="D147" s="11">
        <f>IF(BASE!D147="","",BASE!D147)</f>
        <v/>
      </c>
      <c r="E147" s="11">
        <f>IF(BASE!E147="","",BASE!E147)</f>
        <v/>
      </c>
      <c r="F147" s="11">
        <f>IF(BASE!F147="","",BASE!F147)</f>
        <v/>
      </c>
      <c r="G147" s="33">
        <f>IF(BASE!H147="","",BASE!H147)</f>
        <v/>
      </c>
      <c r="H147" s="33">
        <f>IF(BASE!I147="","",BASE!I147)</f>
        <v/>
      </c>
      <c r="I147" s="34">
        <f>IF(AND(ISNUMBER(G147),ISNUMBER(H147)),H147-G147,"")</f>
        <v/>
      </c>
      <c r="J147" s="35">
        <f>IF(AND(ISNUMBER(I147),G147&gt;0),I147/G147,"")</f>
        <v/>
      </c>
      <c r="K147" s="36">
        <f>BASE!Q147</f>
        <v/>
      </c>
      <c r="L147" s="37">
        <f>IF(BASE!C147="","",IF(BASE!H147="","PENDENTE: tempo padrão",IF(BASE!I147="","tempo real ausente (usa padrão)","")))</f>
        <v/>
      </c>
    </row>
    <row r="148">
      <c r="A148" s="11">
        <f>IF(BASE!A148="","",BASE!A148)</f>
        <v/>
      </c>
      <c r="B148" s="11">
        <f>IF(BASE!B148="","",BASE!B148)</f>
        <v/>
      </c>
      <c r="C148" s="11">
        <f>IF(BASE!C148="","",BASE!C148)</f>
        <v/>
      </c>
      <c r="D148" s="11">
        <f>IF(BASE!D148="","",BASE!D148)</f>
        <v/>
      </c>
      <c r="E148" s="11">
        <f>IF(BASE!E148="","",BASE!E148)</f>
        <v/>
      </c>
      <c r="F148" s="11">
        <f>IF(BASE!F148="","",BASE!F148)</f>
        <v/>
      </c>
      <c r="G148" s="33">
        <f>IF(BASE!H148="","",BASE!H148)</f>
        <v/>
      </c>
      <c r="H148" s="33">
        <f>IF(BASE!I148="","",BASE!I148)</f>
        <v/>
      </c>
      <c r="I148" s="34">
        <f>IF(AND(ISNUMBER(G148),ISNUMBER(H148)),H148-G148,"")</f>
        <v/>
      </c>
      <c r="J148" s="35">
        <f>IF(AND(ISNUMBER(I148),G148&gt;0),I148/G148,"")</f>
        <v/>
      </c>
      <c r="K148" s="36">
        <f>BASE!Q148</f>
        <v/>
      </c>
      <c r="L148" s="37">
        <f>IF(BASE!C148="","",IF(BASE!H148="","PENDENTE: tempo padrão",IF(BASE!I148="","tempo real ausente (usa padrão)","")))</f>
        <v/>
      </c>
    </row>
    <row r="149">
      <c r="A149" s="11">
        <f>IF(BASE!A149="","",BASE!A149)</f>
        <v/>
      </c>
      <c r="B149" s="11">
        <f>IF(BASE!B149="","",BASE!B149)</f>
        <v/>
      </c>
      <c r="C149" s="11">
        <f>IF(BASE!C149="","",BASE!C149)</f>
        <v/>
      </c>
      <c r="D149" s="11">
        <f>IF(BASE!D149="","",BASE!D149)</f>
        <v/>
      </c>
      <c r="E149" s="11">
        <f>IF(BASE!E149="","",BASE!E149)</f>
        <v/>
      </c>
      <c r="F149" s="11">
        <f>IF(BASE!F149="","",BASE!F149)</f>
        <v/>
      </c>
      <c r="G149" s="33">
        <f>IF(BASE!H149="","",BASE!H149)</f>
        <v/>
      </c>
      <c r="H149" s="33">
        <f>IF(BASE!I149="","",BASE!I149)</f>
        <v/>
      </c>
      <c r="I149" s="34">
        <f>IF(AND(ISNUMBER(G149),ISNUMBER(H149)),H149-G149,"")</f>
        <v/>
      </c>
      <c r="J149" s="35">
        <f>IF(AND(ISNUMBER(I149),G149&gt;0),I149/G149,"")</f>
        <v/>
      </c>
      <c r="K149" s="36">
        <f>BASE!Q149</f>
        <v/>
      </c>
      <c r="L149" s="37">
        <f>IF(BASE!C149="","",IF(BASE!H149="","PENDENTE: tempo padrão",IF(BASE!I149="","tempo real ausente (usa padrão)","")))</f>
        <v/>
      </c>
    </row>
    <row r="150">
      <c r="A150" s="11">
        <f>IF(BASE!A150="","",BASE!A150)</f>
        <v/>
      </c>
      <c r="B150" s="11">
        <f>IF(BASE!B150="","",BASE!B150)</f>
        <v/>
      </c>
      <c r="C150" s="11">
        <f>IF(BASE!C150="","",BASE!C150)</f>
        <v/>
      </c>
      <c r="D150" s="11">
        <f>IF(BASE!D150="","",BASE!D150)</f>
        <v/>
      </c>
      <c r="E150" s="11">
        <f>IF(BASE!E150="","",BASE!E150)</f>
        <v/>
      </c>
      <c r="F150" s="11">
        <f>IF(BASE!F150="","",BASE!F150)</f>
        <v/>
      </c>
      <c r="G150" s="33">
        <f>IF(BASE!H150="","",BASE!H150)</f>
        <v/>
      </c>
      <c r="H150" s="33">
        <f>IF(BASE!I150="","",BASE!I150)</f>
        <v/>
      </c>
      <c r="I150" s="34">
        <f>IF(AND(ISNUMBER(G150),ISNUMBER(H150)),H150-G150,"")</f>
        <v/>
      </c>
      <c r="J150" s="35">
        <f>IF(AND(ISNUMBER(I150),G150&gt;0),I150/G150,"")</f>
        <v/>
      </c>
      <c r="K150" s="36">
        <f>BASE!Q150</f>
        <v/>
      </c>
      <c r="L150" s="37">
        <f>IF(BASE!C150="","",IF(BASE!H150="","PENDENTE: tempo padrão",IF(BASE!I150="","tempo real ausente (usa padrão)","")))</f>
        <v/>
      </c>
    </row>
    <row r="151">
      <c r="A151" s="11">
        <f>IF(BASE!A151="","",BASE!A151)</f>
        <v/>
      </c>
      <c r="B151" s="11">
        <f>IF(BASE!B151="","",BASE!B151)</f>
        <v/>
      </c>
      <c r="C151" s="11">
        <f>IF(BASE!C151="","",BASE!C151)</f>
        <v/>
      </c>
      <c r="D151" s="11">
        <f>IF(BASE!D151="","",BASE!D151)</f>
        <v/>
      </c>
      <c r="E151" s="11">
        <f>IF(BASE!E151="","",BASE!E151)</f>
        <v/>
      </c>
      <c r="F151" s="11">
        <f>IF(BASE!F151="","",BASE!F151)</f>
        <v/>
      </c>
      <c r="G151" s="33">
        <f>IF(BASE!H151="","",BASE!H151)</f>
        <v/>
      </c>
      <c r="H151" s="33">
        <f>IF(BASE!I151="","",BASE!I151)</f>
        <v/>
      </c>
      <c r="I151" s="34">
        <f>IF(AND(ISNUMBER(G151),ISNUMBER(H151)),H151-G151,"")</f>
        <v/>
      </c>
      <c r="J151" s="35">
        <f>IF(AND(ISNUMBER(I151),G151&gt;0),I151/G151,"")</f>
        <v/>
      </c>
      <c r="K151" s="36">
        <f>BASE!Q151</f>
        <v/>
      </c>
      <c r="L151" s="37">
        <f>IF(BASE!C151="","",IF(BASE!H151="","PENDENTE: tempo padrão",IF(BASE!I151="","tempo real ausente (usa padrão)","")))</f>
        <v/>
      </c>
    </row>
    <row r="152">
      <c r="A152" s="11">
        <f>IF(BASE!A152="","",BASE!A152)</f>
        <v/>
      </c>
      <c r="B152" s="11">
        <f>IF(BASE!B152="","",BASE!B152)</f>
        <v/>
      </c>
      <c r="C152" s="11">
        <f>IF(BASE!C152="","",BASE!C152)</f>
        <v/>
      </c>
      <c r="D152" s="11">
        <f>IF(BASE!D152="","",BASE!D152)</f>
        <v/>
      </c>
      <c r="E152" s="11">
        <f>IF(BASE!E152="","",BASE!E152)</f>
        <v/>
      </c>
      <c r="F152" s="11">
        <f>IF(BASE!F152="","",BASE!F152)</f>
        <v/>
      </c>
      <c r="G152" s="33">
        <f>IF(BASE!H152="","",BASE!H152)</f>
        <v/>
      </c>
      <c r="H152" s="33">
        <f>IF(BASE!I152="","",BASE!I152)</f>
        <v/>
      </c>
      <c r="I152" s="34">
        <f>IF(AND(ISNUMBER(G152),ISNUMBER(H152)),H152-G152,"")</f>
        <v/>
      </c>
      <c r="J152" s="35">
        <f>IF(AND(ISNUMBER(I152),G152&gt;0),I152/G152,"")</f>
        <v/>
      </c>
      <c r="K152" s="36">
        <f>BASE!Q152</f>
        <v/>
      </c>
      <c r="L152" s="37">
        <f>IF(BASE!C152="","",IF(BASE!H152="","PENDENTE: tempo padrão",IF(BASE!I152="","tempo real ausente (usa padrão)","")))</f>
        <v/>
      </c>
    </row>
    <row r="153">
      <c r="A153" s="11">
        <f>IF(BASE!A153="","",BASE!A153)</f>
        <v/>
      </c>
      <c r="B153" s="11">
        <f>IF(BASE!B153="","",BASE!B153)</f>
        <v/>
      </c>
      <c r="C153" s="11">
        <f>IF(BASE!C153="","",BASE!C153)</f>
        <v/>
      </c>
      <c r="D153" s="11">
        <f>IF(BASE!D153="","",BASE!D153)</f>
        <v/>
      </c>
      <c r="E153" s="11">
        <f>IF(BASE!E153="","",BASE!E153)</f>
        <v/>
      </c>
      <c r="F153" s="11">
        <f>IF(BASE!F153="","",BASE!F153)</f>
        <v/>
      </c>
      <c r="G153" s="33">
        <f>IF(BASE!H153="","",BASE!H153)</f>
        <v/>
      </c>
      <c r="H153" s="33">
        <f>IF(BASE!I153="","",BASE!I153)</f>
        <v/>
      </c>
      <c r="I153" s="34">
        <f>IF(AND(ISNUMBER(G153),ISNUMBER(H153)),H153-G153,"")</f>
        <v/>
      </c>
      <c r="J153" s="35">
        <f>IF(AND(ISNUMBER(I153),G153&gt;0),I153/G153,"")</f>
        <v/>
      </c>
      <c r="K153" s="36">
        <f>BASE!Q153</f>
        <v/>
      </c>
      <c r="L153" s="37">
        <f>IF(BASE!C153="","",IF(BASE!H153="","PENDENTE: tempo padrão",IF(BASE!I153="","tempo real ausente (usa padrão)","")))</f>
        <v/>
      </c>
    </row>
    <row r="154">
      <c r="A154" s="11">
        <f>IF(BASE!A154="","",BASE!A154)</f>
        <v/>
      </c>
      <c r="B154" s="11">
        <f>IF(BASE!B154="","",BASE!B154)</f>
        <v/>
      </c>
      <c r="C154" s="11">
        <f>IF(BASE!C154="","",BASE!C154)</f>
        <v/>
      </c>
      <c r="D154" s="11">
        <f>IF(BASE!D154="","",BASE!D154)</f>
        <v/>
      </c>
      <c r="E154" s="11">
        <f>IF(BASE!E154="","",BASE!E154)</f>
        <v/>
      </c>
      <c r="F154" s="11">
        <f>IF(BASE!F154="","",BASE!F154)</f>
        <v/>
      </c>
      <c r="G154" s="33">
        <f>IF(BASE!H154="","",BASE!H154)</f>
        <v/>
      </c>
      <c r="H154" s="33">
        <f>IF(BASE!I154="","",BASE!I154)</f>
        <v/>
      </c>
      <c r="I154" s="34">
        <f>IF(AND(ISNUMBER(G154),ISNUMBER(H154)),H154-G154,"")</f>
        <v/>
      </c>
      <c r="J154" s="35">
        <f>IF(AND(ISNUMBER(I154),G154&gt;0),I154/G154,"")</f>
        <v/>
      </c>
      <c r="K154" s="36">
        <f>BASE!Q154</f>
        <v/>
      </c>
      <c r="L154" s="37">
        <f>IF(BASE!C154="","",IF(BASE!H154="","PENDENTE: tempo padrão",IF(BASE!I154="","tempo real ausente (usa padrão)","")))</f>
        <v/>
      </c>
    </row>
    <row r="155">
      <c r="A155" s="11">
        <f>IF(BASE!A155="","",BASE!A155)</f>
        <v/>
      </c>
      <c r="B155" s="11">
        <f>IF(BASE!B155="","",BASE!B155)</f>
        <v/>
      </c>
      <c r="C155" s="11">
        <f>IF(BASE!C155="","",BASE!C155)</f>
        <v/>
      </c>
      <c r="D155" s="11">
        <f>IF(BASE!D155="","",BASE!D155)</f>
        <v/>
      </c>
      <c r="E155" s="11">
        <f>IF(BASE!E155="","",BASE!E155)</f>
        <v/>
      </c>
      <c r="F155" s="11">
        <f>IF(BASE!F155="","",BASE!F155)</f>
        <v/>
      </c>
      <c r="G155" s="33">
        <f>IF(BASE!H155="","",BASE!H155)</f>
        <v/>
      </c>
      <c r="H155" s="33">
        <f>IF(BASE!I155="","",BASE!I155)</f>
        <v/>
      </c>
      <c r="I155" s="34">
        <f>IF(AND(ISNUMBER(G155),ISNUMBER(H155)),H155-G155,"")</f>
        <v/>
      </c>
      <c r="J155" s="35">
        <f>IF(AND(ISNUMBER(I155),G155&gt;0),I155/G155,"")</f>
        <v/>
      </c>
      <c r="K155" s="36">
        <f>BASE!Q155</f>
        <v/>
      </c>
      <c r="L155" s="37">
        <f>IF(BASE!C155="","",IF(BASE!H155="","PENDENTE: tempo padrão",IF(BASE!I155="","tempo real ausente (usa padrão)","")))</f>
        <v/>
      </c>
    </row>
    <row r="156">
      <c r="A156" s="11">
        <f>IF(BASE!A156="","",BASE!A156)</f>
        <v/>
      </c>
      <c r="B156" s="11">
        <f>IF(BASE!B156="","",BASE!B156)</f>
        <v/>
      </c>
      <c r="C156" s="11">
        <f>IF(BASE!C156="","",BASE!C156)</f>
        <v/>
      </c>
      <c r="D156" s="11">
        <f>IF(BASE!D156="","",BASE!D156)</f>
        <v/>
      </c>
      <c r="E156" s="11">
        <f>IF(BASE!E156="","",BASE!E156)</f>
        <v/>
      </c>
      <c r="F156" s="11">
        <f>IF(BASE!F156="","",BASE!F156)</f>
        <v/>
      </c>
      <c r="G156" s="33">
        <f>IF(BASE!H156="","",BASE!H156)</f>
        <v/>
      </c>
      <c r="H156" s="33">
        <f>IF(BASE!I156="","",BASE!I156)</f>
        <v/>
      </c>
      <c r="I156" s="34">
        <f>IF(AND(ISNUMBER(G156),ISNUMBER(H156)),H156-G156,"")</f>
        <v/>
      </c>
      <c r="J156" s="35">
        <f>IF(AND(ISNUMBER(I156),G156&gt;0),I156/G156,"")</f>
        <v/>
      </c>
      <c r="K156" s="36">
        <f>BASE!Q156</f>
        <v/>
      </c>
      <c r="L156" s="37">
        <f>IF(BASE!C156="","",IF(BASE!H156="","PENDENTE: tempo padrão",IF(BASE!I156="","tempo real ausente (usa padrão)","")))</f>
        <v/>
      </c>
    </row>
    <row r="157">
      <c r="A157" s="11">
        <f>IF(BASE!A157="","",BASE!A157)</f>
        <v/>
      </c>
      <c r="B157" s="11">
        <f>IF(BASE!B157="","",BASE!B157)</f>
        <v/>
      </c>
      <c r="C157" s="11">
        <f>IF(BASE!C157="","",BASE!C157)</f>
        <v/>
      </c>
      <c r="D157" s="11">
        <f>IF(BASE!D157="","",BASE!D157)</f>
        <v/>
      </c>
      <c r="E157" s="11">
        <f>IF(BASE!E157="","",BASE!E157)</f>
        <v/>
      </c>
      <c r="F157" s="11">
        <f>IF(BASE!F157="","",BASE!F157)</f>
        <v/>
      </c>
      <c r="G157" s="33">
        <f>IF(BASE!H157="","",BASE!H157)</f>
        <v/>
      </c>
      <c r="H157" s="33">
        <f>IF(BASE!I157="","",BASE!I157)</f>
        <v/>
      </c>
      <c r="I157" s="34">
        <f>IF(AND(ISNUMBER(G157),ISNUMBER(H157)),H157-G157,"")</f>
        <v/>
      </c>
      <c r="J157" s="35">
        <f>IF(AND(ISNUMBER(I157),G157&gt;0),I157/G157,"")</f>
        <v/>
      </c>
      <c r="K157" s="36">
        <f>BASE!Q157</f>
        <v/>
      </c>
      <c r="L157" s="37">
        <f>IF(BASE!C157="","",IF(BASE!H157="","PENDENTE: tempo padrão",IF(BASE!I157="","tempo real ausente (usa padrão)","")))</f>
        <v/>
      </c>
    </row>
    <row r="158">
      <c r="A158" s="11">
        <f>IF(BASE!A158="","",BASE!A158)</f>
        <v/>
      </c>
      <c r="B158" s="11">
        <f>IF(BASE!B158="","",BASE!B158)</f>
        <v/>
      </c>
      <c r="C158" s="11">
        <f>IF(BASE!C158="","",BASE!C158)</f>
        <v/>
      </c>
      <c r="D158" s="11">
        <f>IF(BASE!D158="","",BASE!D158)</f>
        <v/>
      </c>
      <c r="E158" s="11">
        <f>IF(BASE!E158="","",BASE!E158)</f>
        <v/>
      </c>
      <c r="F158" s="11">
        <f>IF(BASE!F158="","",BASE!F158)</f>
        <v/>
      </c>
      <c r="G158" s="33">
        <f>IF(BASE!H158="","",BASE!H158)</f>
        <v/>
      </c>
      <c r="H158" s="33">
        <f>IF(BASE!I158="","",BASE!I158)</f>
        <v/>
      </c>
      <c r="I158" s="34">
        <f>IF(AND(ISNUMBER(G158),ISNUMBER(H158)),H158-G158,"")</f>
        <v/>
      </c>
      <c r="J158" s="35">
        <f>IF(AND(ISNUMBER(I158),G158&gt;0),I158/G158,"")</f>
        <v/>
      </c>
      <c r="K158" s="36">
        <f>BASE!Q158</f>
        <v/>
      </c>
      <c r="L158" s="37">
        <f>IF(BASE!C158="","",IF(BASE!H158="","PENDENTE: tempo padrão",IF(BASE!I158="","tempo real ausente (usa padrão)","")))</f>
        <v/>
      </c>
    </row>
    <row r="159">
      <c r="A159" s="11">
        <f>IF(BASE!A159="","",BASE!A159)</f>
        <v/>
      </c>
      <c r="B159" s="11">
        <f>IF(BASE!B159="","",BASE!B159)</f>
        <v/>
      </c>
      <c r="C159" s="11">
        <f>IF(BASE!C159="","",BASE!C159)</f>
        <v/>
      </c>
      <c r="D159" s="11">
        <f>IF(BASE!D159="","",BASE!D159)</f>
        <v/>
      </c>
      <c r="E159" s="11">
        <f>IF(BASE!E159="","",BASE!E159)</f>
        <v/>
      </c>
      <c r="F159" s="11">
        <f>IF(BASE!F159="","",BASE!F159)</f>
        <v/>
      </c>
      <c r="G159" s="33">
        <f>IF(BASE!H159="","",BASE!H159)</f>
        <v/>
      </c>
      <c r="H159" s="33">
        <f>IF(BASE!I159="","",BASE!I159)</f>
        <v/>
      </c>
      <c r="I159" s="34">
        <f>IF(AND(ISNUMBER(G159),ISNUMBER(H159)),H159-G159,"")</f>
        <v/>
      </c>
      <c r="J159" s="35">
        <f>IF(AND(ISNUMBER(I159),G159&gt;0),I159/G159,"")</f>
        <v/>
      </c>
      <c r="K159" s="36">
        <f>BASE!Q159</f>
        <v/>
      </c>
      <c r="L159" s="37">
        <f>IF(BASE!C159="","",IF(BASE!H159="","PENDENTE: tempo padrão",IF(BASE!I159="","tempo real ausente (usa padrão)","")))</f>
        <v/>
      </c>
    </row>
    <row r="160">
      <c r="A160" s="11">
        <f>IF(BASE!A160="","",BASE!A160)</f>
        <v/>
      </c>
      <c r="B160" s="11">
        <f>IF(BASE!B160="","",BASE!B160)</f>
        <v/>
      </c>
      <c r="C160" s="11">
        <f>IF(BASE!C160="","",BASE!C160)</f>
        <v/>
      </c>
      <c r="D160" s="11">
        <f>IF(BASE!D160="","",BASE!D160)</f>
        <v/>
      </c>
      <c r="E160" s="11">
        <f>IF(BASE!E160="","",BASE!E160)</f>
        <v/>
      </c>
      <c r="F160" s="11">
        <f>IF(BASE!F160="","",BASE!F160)</f>
        <v/>
      </c>
      <c r="G160" s="33">
        <f>IF(BASE!H160="","",BASE!H160)</f>
        <v/>
      </c>
      <c r="H160" s="33">
        <f>IF(BASE!I160="","",BASE!I160)</f>
        <v/>
      </c>
      <c r="I160" s="34">
        <f>IF(AND(ISNUMBER(G160),ISNUMBER(H160)),H160-G160,"")</f>
        <v/>
      </c>
      <c r="J160" s="35">
        <f>IF(AND(ISNUMBER(I160),G160&gt;0),I160/G160,"")</f>
        <v/>
      </c>
      <c r="K160" s="36">
        <f>BASE!Q160</f>
        <v/>
      </c>
      <c r="L160" s="37">
        <f>IF(BASE!C160="","",IF(BASE!H160="","PENDENTE: tempo padrão",IF(BASE!I160="","tempo real ausente (usa padrão)","")))</f>
        <v/>
      </c>
    </row>
    <row r="161">
      <c r="A161" s="11">
        <f>IF(BASE!A161="","",BASE!A161)</f>
        <v/>
      </c>
      <c r="B161" s="11">
        <f>IF(BASE!B161="","",BASE!B161)</f>
        <v/>
      </c>
      <c r="C161" s="11">
        <f>IF(BASE!C161="","",BASE!C161)</f>
        <v/>
      </c>
      <c r="D161" s="11">
        <f>IF(BASE!D161="","",BASE!D161)</f>
        <v/>
      </c>
      <c r="E161" s="11">
        <f>IF(BASE!E161="","",BASE!E161)</f>
        <v/>
      </c>
      <c r="F161" s="11">
        <f>IF(BASE!F161="","",BASE!F161)</f>
        <v/>
      </c>
      <c r="G161" s="33">
        <f>IF(BASE!H161="","",BASE!H161)</f>
        <v/>
      </c>
      <c r="H161" s="33">
        <f>IF(BASE!I161="","",BASE!I161)</f>
        <v/>
      </c>
      <c r="I161" s="34">
        <f>IF(AND(ISNUMBER(G161),ISNUMBER(H161)),H161-G161,"")</f>
        <v/>
      </c>
      <c r="J161" s="35">
        <f>IF(AND(ISNUMBER(I161),G161&gt;0),I161/G161,"")</f>
        <v/>
      </c>
      <c r="K161" s="36">
        <f>BASE!Q161</f>
        <v/>
      </c>
      <c r="L161" s="37">
        <f>IF(BASE!C161="","",IF(BASE!H161="","PENDENTE: tempo padrão",IF(BASE!I161="","tempo real ausente (usa padrão)","")))</f>
        <v/>
      </c>
    </row>
    <row r="162">
      <c r="A162" s="11">
        <f>IF(BASE!A162="","",BASE!A162)</f>
        <v/>
      </c>
      <c r="B162" s="11">
        <f>IF(BASE!B162="","",BASE!B162)</f>
        <v/>
      </c>
      <c r="C162" s="11">
        <f>IF(BASE!C162="","",BASE!C162)</f>
        <v/>
      </c>
      <c r="D162" s="11">
        <f>IF(BASE!D162="","",BASE!D162)</f>
        <v/>
      </c>
      <c r="E162" s="11">
        <f>IF(BASE!E162="","",BASE!E162)</f>
        <v/>
      </c>
      <c r="F162" s="11">
        <f>IF(BASE!F162="","",BASE!F162)</f>
        <v/>
      </c>
      <c r="G162" s="33">
        <f>IF(BASE!H162="","",BASE!H162)</f>
        <v/>
      </c>
      <c r="H162" s="33">
        <f>IF(BASE!I162="","",BASE!I162)</f>
        <v/>
      </c>
      <c r="I162" s="34">
        <f>IF(AND(ISNUMBER(G162),ISNUMBER(H162)),H162-G162,"")</f>
        <v/>
      </c>
      <c r="J162" s="35">
        <f>IF(AND(ISNUMBER(I162),G162&gt;0),I162/G162,"")</f>
        <v/>
      </c>
      <c r="K162" s="36">
        <f>BASE!Q162</f>
        <v/>
      </c>
      <c r="L162" s="37">
        <f>IF(BASE!C162="","",IF(BASE!H162="","PENDENTE: tempo padrão",IF(BASE!I162="","tempo real ausente (usa padrão)","")))</f>
        <v/>
      </c>
    </row>
    <row r="163">
      <c r="A163" s="11">
        <f>IF(BASE!A163="","",BASE!A163)</f>
        <v/>
      </c>
      <c r="B163" s="11">
        <f>IF(BASE!B163="","",BASE!B163)</f>
        <v/>
      </c>
      <c r="C163" s="11">
        <f>IF(BASE!C163="","",BASE!C163)</f>
        <v/>
      </c>
      <c r="D163" s="11">
        <f>IF(BASE!D163="","",BASE!D163)</f>
        <v/>
      </c>
      <c r="E163" s="11">
        <f>IF(BASE!E163="","",BASE!E163)</f>
        <v/>
      </c>
      <c r="F163" s="11">
        <f>IF(BASE!F163="","",BASE!F163)</f>
        <v/>
      </c>
      <c r="G163" s="33">
        <f>IF(BASE!H163="","",BASE!H163)</f>
        <v/>
      </c>
      <c r="H163" s="33">
        <f>IF(BASE!I163="","",BASE!I163)</f>
        <v/>
      </c>
      <c r="I163" s="34">
        <f>IF(AND(ISNUMBER(G163),ISNUMBER(H163)),H163-G163,"")</f>
        <v/>
      </c>
      <c r="J163" s="35">
        <f>IF(AND(ISNUMBER(I163),G163&gt;0),I163/G163,"")</f>
        <v/>
      </c>
      <c r="K163" s="36">
        <f>BASE!Q163</f>
        <v/>
      </c>
      <c r="L163" s="37">
        <f>IF(BASE!C163="","",IF(BASE!H163="","PENDENTE: tempo padrão",IF(BASE!I163="","tempo real ausente (usa padrão)","")))</f>
        <v/>
      </c>
    </row>
    <row r="164">
      <c r="A164" s="11">
        <f>IF(BASE!A164="","",BASE!A164)</f>
        <v/>
      </c>
      <c r="B164" s="11">
        <f>IF(BASE!B164="","",BASE!B164)</f>
        <v/>
      </c>
      <c r="C164" s="11">
        <f>IF(BASE!C164="","",BASE!C164)</f>
        <v/>
      </c>
      <c r="D164" s="11">
        <f>IF(BASE!D164="","",BASE!D164)</f>
        <v/>
      </c>
      <c r="E164" s="11">
        <f>IF(BASE!E164="","",BASE!E164)</f>
        <v/>
      </c>
      <c r="F164" s="11">
        <f>IF(BASE!F164="","",BASE!F164)</f>
        <v/>
      </c>
      <c r="G164" s="33">
        <f>IF(BASE!H164="","",BASE!H164)</f>
        <v/>
      </c>
      <c r="H164" s="33">
        <f>IF(BASE!I164="","",BASE!I164)</f>
        <v/>
      </c>
      <c r="I164" s="34">
        <f>IF(AND(ISNUMBER(G164),ISNUMBER(H164)),H164-G164,"")</f>
        <v/>
      </c>
      <c r="J164" s="35">
        <f>IF(AND(ISNUMBER(I164),G164&gt;0),I164/G164,"")</f>
        <v/>
      </c>
      <c r="K164" s="36">
        <f>BASE!Q164</f>
        <v/>
      </c>
      <c r="L164" s="37">
        <f>IF(BASE!C164="","",IF(BASE!H164="","PENDENTE: tempo padrão",IF(BASE!I164="","tempo real ausente (usa padrão)","")))</f>
        <v/>
      </c>
    </row>
    <row r="165">
      <c r="A165" s="11">
        <f>IF(BASE!A165="","",BASE!A165)</f>
        <v/>
      </c>
      <c r="B165" s="11">
        <f>IF(BASE!B165="","",BASE!B165)</f>
        <v/>
      </c>
      <c r="C165" s="11">
        <f>IF(BASE!C165="","",BASE!C165)</f>
        <v/>
      </c>
      <c r="D165" s="11">
        <f>IF(BASE!D165="","",BASE!D165)</f>
        <v/>
      </c>
      <c r="E165" s="11">
        <f>IF(BASE!E165="","",BASE!E165)</f>
        <v/>
      </c>
      <c r="F165" s="11">
        <f>IF(BASE!F165="","",BASE!F165)</f>
        <v/>
      </c>
      <c r="G165" s="33">
        <f>IF(BASE!H165="","",BASE!H165)</f>
        <v/>
      </c>
      <c r="H165" s="33">
        <f>IF(BASE!I165="","",BASE!I165)</f>
        <v/>
      </c>
      <c r="I165" s="34">
        <f>IF(AND(ISNUMBER(G165),ISNUMBER(H165)),H165-G165,"")</f>
        <v/>
      </c>
      <c r="J165" s="35">
        <f>IF(AND(ISNUMBER(I165),G165&gt;0),I165/G165,"")</f>
        <v/>
      </c>
      <c r="K165" s="36">
        <f>BASE!Q165</f>
        <v/>
      </c>
      <c r="L165" s="37">
        <f>IF(BASE!C165="","",IF(BASE!H165="","PENDENTE: tempo padrão",IF(BASE!I165="","tempo real ausente (usa padrão)","")))</f>
        <v/>
      </c>
    </row>
    <row r="166">
      <c r="A166" s="11">
        <f>IF(BASE!A166="","",BASE!A166)</f>
        <v/>
      </c>
      <c r="B166" s="11">
        <f>IF(BASE!B166="","",BASE!B166)</f>
        <v/>
      </c>
      <c r="C166" s="11">
        <f>IF(BASE!C166="","",BASE!C166)</f>
        <v/>
      </c>
      <c r="D166" s="11">
        <f>IF(BASE!D166="","",BASE!D166)</f>
        <v/>
      </c>
      <c r="E166" s="11">
        <f>IF(BASE!E166="","",BASE!E166)</f>
        <v/>
      </c>
      <c r="F166" s="11">
        <f>IF(BASE!F166="","",BASE!F166)</f>
        <v/>
      </c>
      <c r="G166" s="33">
        <f>IF(BASE!H166="","",BASE!H166)</f>
        <v/>
      </c>
      <c r="H166" s="33">
        <f>IF(BASE!I166="","",BASE!I166)</f>
        <v/>
      </c>
      <c r="I166" s="34">
        <f>IF(AND(ISNUMBER(G166),ISNUMBER(H166)),H166-G166,"")</f>
        <v/>
      </c>
      <c r="J166" s="35">
        <f>IF(AND(ISNUMBER(I166),G166&gt;0),I166/G166,"")</f>
        <v/>
      </c>
      <c r="K166" s="36">
        <f>BASE!Q166</f>
        <v/>
      </c>
      <c r="L166" s="37">
        <f>IF(BASE!C166="","",IF(BASE!H166="","PENDENTE: tempo padrão",IF(BASE!I166="","tempo real ausente (usa padrão)","")))</f>
        <v/>
      </c>
    </row>
    <row r="167">
      <c r="A167" s="11">
        <f>IF(BASE!A167="","",BASE!A167)</f>
        <v/>
      </c>
      <c r="B167" s="11">
        <f>IF(BASE!B167="","",BASE!B167)</f>
        <v/>
      </c>
      <c r="C167" s="11">
        <f>IF(BASE!C167="","",BASE!C167)</f>
        <v/>
      </c>
      <c r="D167" s="11">
        <f>IF(BASE!D167="","",BASE!D167)</f>
        <v/>
      </c>
      <c r="E167" s="11">
        <f>IF(BASE!E167="","",BASE!E167)</f>
        <v/>
      </c>
      <c r="F167" s="11">
        <f>IF(BASE!F167="","",BASE!F167)</f>
        <v/>
      </c>
      <c r="G167" s="33">
        <f>IF(BASE!H167="","",BASE!H167)</f>
        <v/>
      </c>
      <c r="H167" s="33">
        <f>IF(BASE!I167="","",BASE!I167)</f>
        <v/>
      </c>
      <c r="I167" s="34">
        <f>IF(AND(ISNUMBER(G167),ISNUMBER(H167)),H167-G167,"")</f>
        <v/>
      </c>
      <c r="J167" s="35">
        <f>IF(AND(ISNUMBER(I167),G167&gt;0),I167/G167,"")</f>
        <v/>
      </c>
      <c r="K167" s="36">
        <f>BASE!Q167</f>
        <v/>
      </c>
      <c r="L167" s="37">
        <f>IF(BASE!C167="","",IF(BASE!H167="","PENDENTE: tempo padrão",IF(BASE!I167="","tempo real ausente (usa padrão)","")))</f>
        <v/>
      </c>
    </row>
    <row r="168">
      <c r="A168" s="11">
        <f>IF(BASE!A168="","",BASE!A168)</f>
        <v/>
      </c>
      <c r="B168" s="11">
        <f>IF(BASE!B168="","",BASE!B168)</f>
        <v/>
      </c>
      <c r="C168" s="11">
        <f>IF(BASE!C168="","",BASE!C168)</f>
        <v/>
      </c>
      <c r="D168" s="11">
        <f>IF(BASE!D168="","",BASE!D168)</f>
        <v/>
      </c>
      <c r="E168" s="11">
        <f>IF(BASE!E168="","",BASE!E168)</f>
        <v/>
      </c>
      <c r="F168" s="11">
        <f>IF(BASE!F168="","",BASE!F168)</f>
        <v/>
      </c>
      <c r="G168" s="33">
        <f>IF(BASE!H168="","",BASE!H168)</f>
        <v/>
      </c>
      <c r="H168" s="33">
        <f>IF(BASE!I168="","",BASE!I168)</f>
        <v/>
      </c>
      <c r="I168" s="34">
        <f>IF(AND(ISNUMBER(G168),ISNUMBER(H168)),H168-G168,"")</f>
        <v/>
      </c>
      <c r="J168" s="35">
        <f>IF(AND(ISNUMBER(I168),G168&gt;0),I168/G168,"")</f>
        <v/>
      </c>
      <c r="K168" s="36">
        <f>BASE!Q168</f>
        <v/>
      </c>
      <c r="L168" s="37">
        <f>IF(BASE!C168="","",IF(BASE!H168="","PENDENTE: tempo padrão",IF(BASE!I168="","tempo real ausente (usa padrão)","")))</f>
        <v/>
      </c>
    </row>
    <row r="169">
      <c r="A169" s="11">
        <f>IF(BASE!A169="","",BASE!A169)</f>
        <v/>
      </c>
      <c r="B169" s="11">
        <f>IF(BASE!B169="","",BASE!B169)</f>
        <v/>
      </c>
      <c r="C169" s="11">
        <f>IF(BASE!C169="","",BASE!C169)</f>
        <v/>
      </c>
      <c r="D169" s="11">
        <f>IF(BASE!D169="","",BASE!D169)</f>
        <v/>
      </c>
      <c r="E169" s="11">
        <f>IF(BASE!E169="","",BASE!E169)</f>
        <v/>
      </c>
      <c r="F169" s="11">
        <f>IF(BASE!F169="","",BASE!F169)</f>
        <v/>
      </c>
      <c r="G169" s="33">
        <f>IF(BASE!H169="","",BASE!H169)</f>
        <v/>
      </c>
      <c r="H169" s="33">
        <f>IF(BASE!I169="","",BASE!I169)</f>
        <v/>
      </c>
      <c r="I169" s="34">
        <f>IF(AND(ISNUMBER(G169),ISNUMBER(H169)),H169-G169,"")</f>
        <v/>
      </c>
      <c r="J169" s="35">
        <f>IF(AND(ISNUMBER(I169),G169&gt;0),I169/G169,"")</f>
        <v/>
      </c>
      <c r="K169" s="36">
        <f>BASE!Q169</f>
        <v/>
      </c>
      <c r="L169" s="37">
        <f>IF(BASE!C169="","",IF(BASE!H169="","PENDENTE: tempo padrão",IF(BASE!I169="","tempo real ausente (usa padrão)","")))</f>
        <v/>
      </c>
    </row>
    <row r="170">
      <c r="A170" s="11">
        <f>IF(BASE!A170="","",BASE!A170)</f>
        <v/>
      </c>
      <c r="B170" s="11">
        <f>IF(BASE!B170="","",BASE!B170)</f>
        <v/>
      </c>
      <c r="C170" s="11">
        <f>IF(BASE!C170="","",BASE!C170)</f>
        <v/>
      </c>
      <c r="D170" s="11">
        <f>IF(BASE!D170="","",BASE!D170)</f>
        <v/>
      </c>
      <c r="E170" s="11">
        <f>IF(BASE!E170="","",BASE!E170)</f>
        <v/>
      </c>
      <c r="F170" s="11">
        <f>IF(BASE!F170="","",BASE!F170)</f>
        <v/>
      </c>
      <c r="G170" s="33">
        <f>IF(BASE!H170="","",BASE!H170)</f>
        <v/>
      </c>
      <c r="H170" s="33">
        <f>IF(BASE!I170="","",BASE!I170)</f>
        <v/>
      </c>
      <c r="I170" s="34">
        <f>IF(AND(ISNUMBER(G170),ISNUMBER(H170)),H170-G170,"")</f>
        <v/>
      </c>
      <c r="J170" s="35">
        <f>IF(AND(ISNUMBER(I170),G170&gt;0),I170/G170,"")</f>
        <v/>
      </c>
      <c r="K170" s="36">
        <f>BASE!Q170</f>
        <v/>
      </c>
      <c r="L170" s="37">
        <f>IF(BASE!C170="","",IF(BASE!H170="","PENDENTE: tempo padrão",IF(BASE!I170="","tempo real ausente (usa padrão)","")))</f>
        <v/>
      </c>
    </row>
    <row r="171">
      <c r="A171" s="11">
        <f>IF(BASE!A171="","",BASE!A171)</f>
        <v/>
      </c>
      <c r="B171" s="11">
        <f>IF(BASE!B171="","",BASE!B171)</f>
        <v/>
      </c>
      <c r="C171" s="11">
        <f>IF(BASE!C171="","",BASE!C171)</f>
        <v/>
      </c>
      <c r="D171" s="11">
        <f>IF(BASE!D171="","",BASE!D171)</f>
        <v/>
      </c>
      <c r="E171" s="11">
        <f>IF(BASE!E171="","",BASE!E171)</f>
        <v/>
      </c>
      <c r="F171" s="11">
        <f>IF(BASE!F171="","",BASE!F171)</f>
        <v/>
      </c>
      <c r="G171" s="33">
        <f>IF(BASE!H171="","",BASE!H171)</f>
        <v/>
      </c>
      <c r="H171" s="33">
        <f>IF(BASE!I171="","",BASE!I171)</f>
        <v/>
      </c>
      <c r="I171" s="34">
        <f>IF(AND(ISNUMBER(G171),ISNUMBER(H171)),H171-G171,"")</f>
        <v/>
      </c>
      <c r="J171" s="35">
        <f>IF(AND(ISNUMBER(I171),G171&gt;0),I171/G171,"")</f>
        <v/>
      </c>
      <c r="K171" s="36">
        <f>BASE!Q171</f>
        <v/>
      </c>
      <c r="L171" s="37">
        <f>IF(BASE!C171="","",IF(BASE!H171="","PENDENTE: tempo padrão",IF(BASE!I171="","tempo real ausente (usa padrão)","")))</f>
        <v/>
      </c>
    </row>
    <row r="172">
      <c r="A172" s="11">
        <f>IF(BASE!A172="","",BASE!A172)</f>
        <v/>
      </c>
      <c r="B172" s="11">
        <f>IF(BASE!B172="","",BASE!B172)</f>
        <v/>
      </c>
      <c r="C172" s="11">
        <f>IF(BASE!C172="","",BASE!C172)</f>
        <v/>
      </c>
      <c r="D172" s="11">
        <f>IF(BASE!D172="","",BASE!D172)</f>
        <v/>
      </c>
      <c r="E172" s="11">
        <f>IF(BASE!E172="","",BASE!E172)</f>
        <v/>
      </c>
      <c r="F172" s="11">
        <f>IF(BASE!F172="","",BASE!F172)</f>
        <v/>
      </c>
      <c r="G172" s="33">
        <f>IF(BASE!H172="","",BASE!H172)</f>
        <v/>
      </c>
      <c r="H172" s="33">
        <f>IF(BASE!I172="","",BASE!I172)</f>
        <v/>
      </c>
      <c r="I172" s="34">
        <f>IF(AND(ISNUMBER(G172),ISNUMBER(H172)),H172-G172,"")</f>
        <v/>
      </c>
      <c r="J172" s="35">
        <f>IF(AND(ISNUMBER(I172),G172&gt;0),I172/G172,"")</f>
        <v/>
      </c>
      <c r="K172" s="36">
        <f>BASE!Q172</f>
        <v/>
      </c>
      <c r="L172" s="37">
        <f>IF(BASE!C172="","",IF(BASE!H172="","PENDENTE: tempo padrão",IF(BASE!I172="","tempo real ausente (usa padrão)","")))</f>
        <v/>
      </c>
    </row>
    <row r="173">
      <c r="A173" s="11">
        <f>IF(BASE!A173="","",BASE!A173)</f>
        <v/>
      </c>
      <c r="B173" s="11">
        <f>IF(BASE!B173="","",BASE!B173)</f>
        <v/>
      </c>
      <c r="C173" s="11">
        <f>IF(BASE!C173="","",BASE!C173)</f>
        <v/>
      </c>
      <c r="D173" s="11">
        <f>IF(BASE!D173="","",BASE!D173)</f>
        <v/>
      </c>
      <c r="E173" s="11">
        <f>IF(BASE!E173="","",BASE!E173)</f>
        <v/>
      </c>
      <c r="F173" s="11">
        <f>IF(BASE!F173="","",BASE!F173)</f>
        <v/>
      </c>
      <c r="G173" s="33">
        <f>IF(BASE!H173="","",BASE!H173)</f>
        <v/>
      </c>
      <c r="H173" s="33">
        <f>IF(BASE!I173="","",BASE!I173)</f>
        <v/>
      </c>
      <c r="I173" s="34">
        <f>IF(AND(ISNUMBER(G173),ISNUMBER(H173)),H173-G173,"")</f>
        <v/>
      </c>
      <c r="J173" s="35">
        <f>IF(AND(ISNUMBER(I173),G173&gt;0),I173/G173,"")</f>
        <v/>
      </c>
      <c r="K173" s="36">
        <f>BASE!Q173</f>
        <v/>
      </c>
      <c r="L173" s="37">
        <f>IF(BASE!C173="","",IF(BASE!H173="","PENDENTE: tempo padrão",IF(BASE!I173="","tempo real ausente (usa padrão)","")))</f>
        <v/>
      </c>
    </row>
    <row r="174">
      <c r="A174" s="11">
        <f>IF(BASE!A174="","",BASE!A174)</f>
        <v/>
      </c>
      <c r="B174" s="11">
        <f>IF(BASE!B174="","",BASE!B174)</f>
        <v/>
      </c>
      <c r="C174" s="11">
        <f>IF(BASE!C174="","",BASE!C174)</f>
        <v/>
      </c>
      <c r="D174" s="11">
        <f>IF(BASE!D174="","",BASE!D174)</f>
        <v/>
      </c>
      <c r="E174" s="11">
        <f>IF(BASE!E174="","",BASE!E174)</f>
        <v/>
      </c>
      <c r="F174" s="11">
        <f>IF(BASE!F174="","",BASE!F174)</f>
        <v/>
      </c>
      <c r="G174" s="33">
        <f>IF(BASE!H174="","",BASE!H174)</f>
        <v/>
      </c>
      <c r="H174" s="33">
        <f>IF(BASE!I174="","",BASE!I174)</f>
        <v/>
      </c>
      <c r="I174" s="34">
        <f>IF(AND(ISNUMBER(G174),ISNUMBER(H174)),H174-G174,"")</f>
        <v/>
      </c>
      <c r="J174" s="35">
        <f>IF(AND(ISNUMBER(I174),G174&gt;0),I174/G174,"")</f>
        <v/>
      </c>
      <c r="K174" s="36">
        <f>BASE!Q174</f>
        <v/>
      </c>
      <c r="L174" s="37">
        <f>IF(BASE!C174="","",IF(BASE!H174="","PENDENTE: tempo padrão",IF(BASE!I174="","tempo real ausente (usa padrão)","")))</f>
        <v/>
      </c>
    </row>
    <row r="175">
      <c r="A175" s="11">
        <f>IF(BASE!A175="","",BASE!A175)</f>
        <v/>
      </c>
      <c r="B175" s="11">
        <f>IF(BASE!B175="","",BASE!B175)</f>
        <v/>
      </c>
      <c r="C175" s="11">
        <f>IF(BASE!C175="","",BASE!C175)</f>
        <v/>
      </c>
      <c r="D175" s="11">
        <f>IF(BASE!D175="","",BASE!D175)</f>
        <v/>
      </c>
      <c r="E175" s="11">
        <f>IF(BASE!E175="","",BASE!E175)</f>
        <v/>
      </c>
      <c r="F175" s="11">
        <f>IF(BASE!F175="","",BASE!F175)</f>
        <v/>
      </c>
      <c r="G175" s="33">
        <f>IF(BASE!H175="","",BASE!H175)</f>
        <v/>
      </c>
      <c r="H175" s="33">
        <f>IF(BASE!I175="","",BASE!I175)</f>
        <v/>
      </c>
      <c r="I175" s="34">
        <f>IF(AND(ISNUMBER(G175),ISNUMBER(H175)),H175-G175,"")</f>
        <v/>
      </c>
      <c r="J175" s="35">
        <f>IF(AND(ISNUMBER(I175),G175&gt;0),I175/G175,"")</f>
        <v/>
      </c>
      <c r="K175" s="36">
        <f>BASE!Q175</f>
        <v/>
      </c>
      <c r="L175" s="37">
        <f>IF(BASE!C175="","",IF(BASE!H175="","PENDENTE: tempo padrão",IF(BASE!I175="","tempo real ausente (usa padrão)","")))</f>
        <v/>
      </c>
    </row>
    <row r="176">
      <c r="A176" s="11">
        <f>IF(BASE!A176="","",BASE!A176)</f>
        <v/>
      </c>
      <c r="B176" s="11">
        <f>IF(BASE!B176="","",BASE!B176)</f>
        <v/>
      </c>
      <c r="C176" s="11">
        <f>IF(BASE!C176="","",BASE!C176)</f>
        <v/>
      </c>
      <c r="D176" s="11">
        <f>IF(BASE!D176="","",BASE!D176)</f>
        <v/>
      </c>
      <c r="E176" s="11">
        <f>IF(BASE!E176="","",BASE!E176)</f>
        <v/>
      </c>
      <c r="F176" s="11">
        <f>IF(BASE!F176="","",BASE!F176)</f>
        <v/>
      </c>
      <c r="G176" s="33">
        <f>IF(BASE!H176="","",BASE!H176)</f>
        <v/>
      </c>
      <c r="H176" s="33">
        <f>IF(BASE!I176="","",BASE!I176)</f>
        <v/>
      </c>
      <c r="I176" s="34">
        <f>IF(AND(ISNUMBER(G176),ISNUMBER(H176)),H176-G176,"")</f>
        <v/>
      </c>
      <c r="J176" s="35">
        <f>IF(AND(ISNUMBER(I176),G176&gt;0),I176/G176,"")</f>
        <v/>
      </c>
      <c r="K176" s="36">
        <f>BASE!Q176</f>
        <v/>
      </c>
      <c r="L176" s="37">
        <f>IF(BASE!C176="","",IF(BASE!H176="","PENDENTE: tempo padrão",IF(BASE!I176="","tempo real ausente (usa padrão)","")))</f>
        <v/>
      </c>
    </row>
    <row r="177">
      <c r="A177" s="11">
        <f>IF(BASE!A177="","",BASE!A177)</f>
        <v/>
      </c>
      <c r="B177" s="11">
        <f>IF(BASE!B177="","",BASE!B177)</f>
        <v/>
      </c>
      <c r="C177" s="11">
        <f>IF(BASE!C177="","",BASE!C177)</f>
        <v/>
      </c>
      <c r="D177" s="11">
        <f>IF(BASE!D177="","",BASE!D177)</f>
        <v/>
      </c>
      <c r="E177" s="11">
        <f>IF(BASE!E177="","",BASE!E177)</f>
        <v/>
      </c>
      <c r="F177" s="11">
        <f>IF(BASE!F177="","",BASE!F177)</f>
        <v/>
      </c>
      <c r="G177" s="33">
        <f>IF(BASE!H177="","",BASE!H177)</f>
        <v/>
      </c>
      <c r="H177" s="33">
        <f>IF(BASE!I177="","",BASE!I177)</f>
        <v/>
      </c>
      <c r="I177" s="34">
        <f>IF(AND(ISNUMBER(G177),ISNUMBER(H177)),H177-G177,"")</f>
        <v/>
      </c>
      <c r="J177" s="35">
        <f>IF(AND(ISNUMBER(I177),G177&gt;0),I177/G177,"")</f>
        <v/>
      </c>
      <c r="K177" s="36">
        <f>BASE!Q177</f>
        <v/>
      </c>
      <c r="L177" s="37">
        <f>IF(BASE!C177="","",IF(BASE!H177="","PENDENTE: tempo padrão",IF(BASE!I177="","tempo real ausente (usa padrão)","")))</f>
        <v/>
      </c>
    </row>
    <row r="178">
      <c r="A178" s="11">
        <f>IF(BASE!A178="","",BASE!A178)</f>
        <v/>
      </c>
      <c r="B178" s="11">
        <f>IF(BASE!B178="","",BASE!B178)</f>
        <v/>
      </c>
      <c r="C178" s="11">
        <f>IF(BASE!C178="","",BASE!C178)</f>
        <v/>
      </c>
      <c r="D178" s="11">
        <f>IF(BASE!D178="","",BASE!D178)</f>
        <v/>
      </c>
      <c r="E178" s="11">
        <f>IF(BASE!E178="","",BASE!E178)</f>
        <v/>
      </c>
      <c r="F178" s="11">
        <f>IF(BASE!F178="","",BASE!F178)</f>
        <v/>
      </c>
      <c r="G178" s="33">
        <f>IF(BASE!H178="","",BASE!H178)</f>
        <v/>
      </c>
      <c r="H178" s="33">
        <f>IF(BASE!I178="","",BASE!I178)</f>
        <v/>
      </c>
      <c r="I178" s="34">
        <f>IF(AND(ISNUMBER(G178),ISNUMBER(H178)),H178-G178,"")</f>
        <v/>
      </c>
      <c r="J178" s="35">
        <f>IF(AND(ISNUMBER(I178),G178&gt;0),I178/G178,"")</f>
        <v/>
      </c>
      <c r="K178" s="36">
        <f>BASE!Q178</f>
        <v/>
      </c>
      <c r="L178" s="37">
        <f>IF(BASE!C178="","",IF(BASE!H178="","PENDENTE: tempo padrão",IF(BASE!I178="","tempo real ausente (usa padrão)","")))</f>
        <v/>
      </c>
    </row>
    <row r="179">
      <c r="A179" s="11">
        <f>IF(BASE!A179="","",BASE!A179)</f>
        <v/>
      </c>
      <c r="B179" s="11">
        <f>IF(BASE!B179="","",BASE!B179)</f>
        <v/>
      </c>
      <c r="C179" s="11">
        <f>IF(BASE!C179="","",BASE!C179)</f>
        <v/>
      </c>
      <c r="D179" s="11">
        <f>IF(BASE!D179="","",BASE!D179)</f>
        <v/>
      </c>
      <c r="E179" s="11">
        <f>IF(BASE!E179="","",BASE!E179)</f>
        <v/>
      </c>
      <c r="F179" s="11">
        <f>IF(BASE!F179="","",BASE!F179)</f>
        <v/>
      </c>
      <c r="G179" s="33">
        <f>IF(BASE!H179="","",BASE!H179)</f>
        <v/>
      </c>
      <c r="H179" s="33">
        <f>IF(BASE!I179="","",BASE!I179)</f>
        <v/>
      </c>
      <c r="I179" s="34">
        <f>IF(AND(ISNUMBER(G179),ISNUMBER(H179)),H179-G179,"")</f>
        <v/>
      </c>
      <c r="J179" s="35">
        <f>IF(AND(ISNUMBER(I179),G179&gt;0),I179/G179,"")</f>
        <v/>
      </c>
      <c r="K179" s="36">
        <f>BASE!Q179</f>
        <v/>
      </c>
      <c r="L179" s="37">
        <f>IF(BASE!C179="","",IF(BASE!H179="","PENDENTE: tempo padrão",IF(BASE!I179="","tempo real ausente (usa padrão)","")))</f>
        <v/>
      </c>
    </row>
    <row r="180">
      <c r="A180" s="11">
        <f>IF(BASE!A180="","",BASE!A180)</f>
        <v/>
      </c>
      <c r="B180" s="11">
        <f>IF(BASE!B180="","",BASE!B180)</f>
        <v/>
      </c>
      <c r="C180" s="11">
        <f>IF(BASE!C180="","",BASE!C180)</f>
        <v/>
      </c>
      <c r="D180" s="11">
        <f>IF(BASE!D180="","",BASE!D180)</f>
        <v/>
      </c>
      <c r="E180" s="11">
        <f>IF(BASE!E180="","",BASE!E180)</f>
        <v/>
      </c>
      <c r="F180" s="11">
        <f>IF(BASE!F180="","",BASE!F180)</f>
        <v/>
      </c>
      <c r="G180" s="33">
        <f>IF(BASE!H180="","",BASE!H180)</f>
        <v/>
      </c>
      <c r="H180" s="33">
        <f>IF(BASE!I180="","",BASE!I180)</f>
        <v/>
      </c>
      <c r="I180" s="34">
        <f>IF(AND(ISNUMBER(G180),ISNUMBER(H180)),H180-G180,"")</f>
        <v/>
      </c>
      <c r="J180" s="35">
        <f>IF(AND(ISNUMBER(I180),G180&gt;0),I180/G180,"")</f>
        <v/>
      </c>
      <c r="K180" s="36">
        <f>BASE!Q180</f>
        <v/>
      </c>
      <c r="L180" s="37">
        <f>IF(BASE!C180="","",IF(BASE!H180="","PENDENTE: tempo padrão",IF(BASE!I180="","tempo real ausente (usa padrão)","")))</f>
        <v/>
      </c>
    </row>
    <row r="181">
      <c r="A181" s="11">
        <f>IF(BASE!A181="","",BASE!A181)</f>
        <v/>
      </c>
      <c r="B181" s="11">
        <f>IF(BASE!B181="","",BASE!B181)</f>
        <v/>
      </c>
      <c r="C181" s="11">
        <f>IF(BASE!C181="","",BASE!C181)</f>
        <v/>
      </c>
      <c r="D181" s="11">
        <f>IF(BASE!D181="","",BASE!D181)</f>
        <v/>
      </c>
      <c r="E181" s="11">
        <f>IF(BASE!E181="","",BASE!E181)</f>
        <v/>
      </c>
      <c r="F181" s="11">
        <f>IF(BASE!F181="","",BASE!F181)</f>
        <v/>
      </c>
      <c r="G181" s="33">
        <f>IF(BASE!H181="","",BASE!H181)</f>
        <v/>
      </c>
      <c r="H181" s="33">
        <f>IF(BASE!I181="","",BASE!I181)</f>
        <v/>
      </c>
      <c r="I181" s="34">
        <f>IF(AND(ISNUMBER(G181),ISNUMBER(H181)),H181-G181,"")</f>
        <v/>
      </c>
      <c r="J181" s="35">
        <f>IF(AND(ISNUMBER(I181),G181&gt;0),I181/G181,"")</f>
        <v/>
      </c>
      <c r="K181" s="36">
        <f>BASE!Q181</f>
        <v/>
      </c>
      <c r="L181" s="37">
        <f>IF(BASE!C181="","",IF(BASE!H181="","PENDENTE: tempo padrão",IF(BASE!I181="","tempo real ausente (usa padrão)","")))</f>
        <v/>
      </c>
    </row>
    <row r="182">
      <c r="A182" s="11">
        <f>IF(BASE!A182="","",BASE!A182)</f>
        <v/>
      </c>
      <c r="B182" s="11">
        <f>IF(BASE!B182="","",BASE!B182)</f>
        <v/>
      </c>
      <c r="C182" s="11">
        <f>IF(BASE!C182="","",BASE!C182)</f>
        <v/>
      </c>
      <c r="D182" s="11">
        <f>IF(BASE!D182="","",BASE!D182)</f>
        <v/>
      </c>
      <c r="E182" s="11">
        <f>IF(BASE!E182="","",BASE!E182)</f>
        <v/>
      </c>
      <c r="F182" s="11">
        <f>IF(BASE!F182="","",BASE!F182)</f>
        <v/>
      </c>
      <c r="G182" s="33">
        <f>IF(BASE!H182="","",BASE!H182)</f>
        <v/>
      </c>
      <c r="H182" s="33">
        <f>IF(BASE!I182="","",BASE!I182)</f>
        <v/>
      </c>
      <c r="I182" s="34">
        <f>IF(AND(ISNUMBER(G182),ISNUMBER(H182)),H182-G182,"")</f>
        <v/>
      </c>
      <c r="J182" s="35">
        <f>IF(AND(ISNUMBER(I182),G182&gt;0),I182/G182,"")</f>
        <v/>
      </c>
      <c r="K182" s="36">
        <f>BASE!Q182</f>
        <v/>
      </c>
      <c r="L182" s="37">
        <f>IF(BASE!C182="","",IF(BASE!H182="","PENDENTE: tempo padrão",IF(BASE!I182="","tempo real ausente (usa padrão)","")))</f>
        <v/>
      </c>
    </row>
    <row r="183">
      <c r="A183" s="11">
        <f>IF(BASE!A183="","",BASE!A183)</f>
        <v/>
      </c>
      <c r="B183" s="11">
        <f>IF(BASE!B183="","",BASE!B183)</f>
        <v/>
      </c>
      <c r="C183" s="11">
        <f>IF(BASE!C183="","",BASE!C183)</f>
        <v/>
      </c>
      <c r="D183" s="11">
        <f>IF(BASE!D183="","",BASE!D183)</f>
        <v/>
      </c>
      <c r="E183" s="11">
        <f>IF(BASE!E183="","",BASE!E183)</f>
        <v/>
      </c>
      <c r="F183" s="11">
        <f>IF(BASE!F183="","",BASE!F183)</f>
        <v/>
      </c>
      <c r="G183" s="33">
        <f>IF(BASE!H183="","",BASE!H183)</f>
        <v/>
      </c>
      <c r="H183" s="33">
        <f>IF(BASE!I183="","",BASE!I183)</f>
        <v/>
      </c>
      <c r="I183" s="34">
        <f>IF(AND(ISNUMBER(G183),ISNUMBER(H183)),H183-G183,"")</f>
        <v/>
      </c>
      <c r="J183" s="35">
        <f>IF(AND(ISNUMBER(I183),G183&gt;0),I183/G183,"")</f>
        <v/>
      </c>
      <c r="K183" s="36">
        <f>BASE!Q183</f>
        <v/>
      </c>
      <c r="L183" s="37">
        <f>IF(BASE!C183="","",IF(BASE!H183="","PENDENTE: tempo padrão",IF(BASE!I183="","tempo real ausente (usa padrão)","")))</f>
        <v/>
      </c>
    </row>
    <row r="184">
      <c r="A184" s="11">
        <f>IF(BASE!A184="","",BASE!A184)</f>
        <v/>
      </c>
      <c r="B184" s="11">
        <f>IF(BASE!B184="","",BASE!B184)</f>
        <v/>
      </c>
      <c r="C184" s="11">
        <f>IF(BASE!C184="","",BASE!C184)</f>
        <v/>
      </c>
      <c r="D184" s="11">
        <f>IF(BASE!D184="","",BASE!D184)</f>
        <v/>
      </c>
      <c r="E184" s="11">
        <f>IF(BASE!E184="","",BASE!E184)</f>
        <v/>
      </c>
      <c r="F184" s="11">
        <f>IF(BASE!F184="","",BASE!F184)</f>
        <v/>
      </c>
      <c r="G184" s="33">
        <f>IF(BASE!H184="","",BASE!H184)</f>
        <v/>
      </c>
      <c r="H184" s="33">
        <f>IF(BASE!I184="","",BASE!I184)</f>
        <v/>
      </c>
      <c r="I184" s="34">
        <f>IF(AND(ISNUMBER(G184),ISNUMBER(H184)),H184-G184,"")</f>
        <v/>
      </c>
      <c r="J184" s="35">
        <f>IF(AND(ISNUMBER(I184),G184&gt;0),I184/G184,"")</f>
        <v/>
      </c>
      <c r="K184" s="36">
        <f>BASE!Q184</f>
        <v/>
      </c>
      <c r="L184" s="37">
        <f>IF(BASE!C184="","",IF(BASE!H184="","PENDENTE: tempo padrão",IF(BASE!I184="","tempo real ausente (usa padrão)","")))</f>
        <v/>
      </c>
    </row>
    <row r="185">
      <c r="A185" s="11">
        <f>IF(BASE!A185="","",BASE!A185)</f>
        <v/>
      </c>
      <c r="B185" s="11">
        <f>IF(BASE!B185="","",BASE!B185)</f>
        <v/>
      </c>
      <c r="C185" s="11">
        <f>IF(BASE!C185="","",BASE!C185)</f>
        <v/>
      </c>
      <c r="D185" s="11">
        <f>IF(BASE!D185="","",BASE!D185)</f>
        <v/>
      </c>
      <c r="E185" s="11">
        <f>IF(BASE!E185="","",BASE!E185)</f>
        <v/>
      </c>
      <c r="F185" s="11">
        <f>IF(BASE!F185="","",BASE!F185)</f>
        <v/>
      </c>
      <c r="G185" s="33">
        <f>IF(BASE!H185="","",BASE!H185)</f>
        <v/>
      </c>
      <c r="H185" s="33">
        <f>IF(BASE!I185="","",BASE!I185)</f>
        <v/>
      </c>
      <c r="I185" s="34">
        <f>IF(AND(ISNUMBER(G185),ISNUMBER(H185)),H185-G185,"")</f>
        <v/>
      </c>
      <c r="J185" s="35">
        <f>IF(AND(ISNUMBER(I185),G185&gt;0),I185/G185,"")</f>
        <v/>
      </c>
      <c r="K185" s="36">
        <f>BASE!Q185</f>
        <v/>
      </c>
      <c r="L185" s="37">
        <f>IF(BASE!C185="","",IF(BASE!H185="","PENDENTE: tempo padrão",IF(BASE!I185="","tempo real ausente (usa padrão)","")))</f>
        <v/>
      </c>
    </row>
    <row r="186">
      <c r="A186" s="11">
        <f>IF(BASE!A186="","",BASE!A186)</f>
        <v/>
      </c>
      <c r="B186" s="11">
        <f>IF(BASE!B186="","",BASE!B186)</f>
        <v/>
      </c>
      <c r="C186" s="11">
        <f>IF(BASE!C186="","",BASE!C186)</f>
        <v/>
      </c>
      <c r="D186" s="11">
        <f>IF(BASE!D186="","",BASE!D186)</f>
        <v/>
      </c>
      <c r="E186" s="11">
        <f>IF(BASE!E186="","",BASE!E186)</f>
        <v/>
      </c>
      <c r="F186" s="11">
        <f>IF(BASE!F186="","",BASE!F186)</f>
        <v/>
      </c>
      <c r="G186" s="33">
        <f>IF(BASE!H186="","",BASE!H186)</f>
        <v/>
      </c>
      <c r="H186" s="33">
        <f>IF(BASE!I186="","",BASE!I186)</f>
        <v/>
      </c>
      <c r="I186" s="34">
        <f>IF(AND(ISNUMBER(G186),ISNUMBER(H186)),H186-G186,"")</f>
        <v/>
      </c>
      <c r="J186" s="35">
        <f>IF(AND(ISNUMBER(I186),G186&gt;0),I186/G186,"")</f>
        <v/>
      </c>
      <c r="K186" s="36">
        <f>BASE!Q186</f>
        <v/>
      </c>
      <c r="L186" s="37">
        <f>IF(BASE!C186="","",IF(BASE!H186="","PENDENTE: tempo padrão",IF(BASE!I186="","tempo real ausente (usa padrão)","")))</f>
        <v/>
      </c>
    </row>
    <row r="187">
      <c r="A187" s="11">
        <f>IF(BASE!A187="","",BASE!A187)</f>
        <v/>
      </c>
      <c r="B187" s="11">
        <f>IF(BASE!B187="","",BASE!B187)</f>
        <v/>
      </c>
      <c r="C187" s="11">
        <f>IF(BASE!C187="","",BASE!C187)</f>
        <v/>
      </c>
      <c r="D187" s="11">
        <f>IF(BASE!D187="","",BASE!D187)</f>
        <v/>
      </c>
      <c r="E187" s="11">
        <f>IF(BASE!E187="","",BASE!E187)</f>
        <v/>
      </c>
      <c r="F187" s="11">
        <f>IF(BASE!F187="","",BASE!F187)</f>
        <v/>
      </c>
      <c r="G187" s="33">
        <f>IF(BASE!H187="","",BASE!H187)</f>
        <v/>
      </c>
      <c r="H187" s="33">
        <f>IF(BASE!I187="","",BASE!I187)</f>
        <v/>
      </c>
      <c r="I187" s="34">
        <f>IF(AND(ISNUMBER(G187),ISNUMBER(H187)),H187-G187,"")</f>
        <v/>
      </c>
      <c r="J187" s="35">
        <f>IF(AND(ISNUMBER(I187),G187&gt;0),I187/G187,"")</f>
        <v/>
      </c>
      <c r="K187" s="36">
        <f>BASE!Q187</f>
        <v/>
      </c>
      <c r="L187" s="37">
        <f>IF(BASE!C187="","",IF(BASE!H187="","PENDENTE: tempo padrão",IF(BASE!I187="","tempo real ausente (usa padrão)","")))</f>
        <v/>
      </c>
    </row>
    <row r="188">
      <c r="A188" s="11">
        <f>IF(BASE!A188="","",BASE!A188)</f>
        <v/>
      </c>
      <c r="B188" s="11">
        <f>IF(BASE!B188="","",BASE!B188)</f>
        <v/>
      </c>
      <c r="C188" s="11">
        <f>IF(BASE!C188="","",BASE!C188)</f>
        <v/>
      </c>
      <c r="D188" s="11">
        <f>IF(BASE!D188="","",BASE!D188)</f>
        <v/>
      </c>
      <c r="E188" s="11">
        <f>IF(BASE!E188="","",BASE!E188)</f>
        <v/>
      </c>
      <c r="F188" s="11">
        <f>IF(BASE!F188="","",BASE!F188)</f>
        <v/>
      </c>
      <c r="G188" s="33">
        <f>IF(BASE!H188="","",BASE!H188)</f>
        <v/>
      </c>
      <c r="H188" s="33">
        <f>IF(BASE!I188="","",BASE!I188)</f>
        <v/>
      </c>
      <c r="I188" s="34">
        <f>IF(AND(ISNUMBER(G188),ISNUMBER(H188)),H188-G188,"")</f>
        <v/>
      </c>
      <c r="J188" s="35">
        <f>IF(AND(ISNUMBER(I188),G188&gt;0),I188/G188,"")</f>
        <v/>
      </c>
      <c r="K188" s="36">
        <f>BASE!Q188</f>
        <v/>
      </c>
      <c r="L188" s="37">
        <f>IF(BASE!C188="","",IF(BASE!H188="","PENDENTE: tempo padrão",IF(BASE!I188="","tempo real ausente (usa padrão)","")))</f>
        <v/>
      </c>
    </row>
    <row r="189">
      <c r="A189" s="11">
        <f>IF(BASE!A189="","",BASE!A189)</f>
        <v/>
      </c>
      <c r="B189" s="11">
        <f>IF(BASE!B189="","",BASE!B189)</f>
        <v/>
      </c>
      <c r="C189" s="11">
        <f>IF(BASE!C189="","",BASE!C189)</f>
        <v/>
      </c>
      <c r="D189" s="11">
        <f>IF(BASE!D189="","",BASE!D189)</f>
        <v/>
      </c>
      <c r="E189" s="11">
        <f>IF(BASE!E189="","",BASE!E189)</f>
        <v/>
      </c>
      <c r="F189" s="11">
        <f>IF(BASE!F189="","",BASE!F189)</f>
        <v/>
      </c>
      <c r="G189" s="33">
        <f>IF(BASE!H189="","",BASE!H189)</f>
        <v/>
      </c>
      <c r="H189" s="33">
        <f>IF(BASE!I189="","",BASE!I189)</f>
        <v/>
      </c>
      <c r="I189" s="34">
        <f>IF(AND(ISNUMBER(G189),ISNUMBER(H189)),H189-G189,"")</f>
        <v/>
      </c>
      <c r="J189" s="35">
        <f>IF(AND(ISNUMBER(I189),G189&gt;0),I189/G189,"")</f>
        <v/>
      </c>
      <c r="K189" s="36">
        <f>BASE!Q189</f>
        <v/>
      </c>
      <c r="L189" s="37">
        <f>IF(BASE!C189="","",IF(BASE!H189="","PENDENTE: tempo padrão",IF(BASE!I189="","tempo real ausente (usa padrão)","")))</f>
        <v/>
      </c>
    </row>
    <row r="190">
      <c r="A190" s="11">
        <f>IF(BASE!A190="","",BASE!A190)</f>
        <v/>
      </c>
      <c r="B190" s="11">
        <f>IF(BASE!B190="","",BASE!B190)</f>
        <v/>
      </c>
      <c r="C190" s="11">
        <f>IF(BASE!C190="","",BASE!C190)</f>
        <v/>
      </c>
      <c r="D190" s="11">
        <f>IF(BASE!D190="","",BASE!D190)</f>
        <v/>
      </c>
      <c r="E190" s="11">
        <f>IF(BASE!E190="","",BASE!E190)</f>
        <v/>
      </c>
      <c r="F190" s="11">
        <f>IF(BASE!F190="","",BASE!F190)</f>
        <v/>
      </c>
      <c r="G190" s="33">
        <f>IF(BASE!H190="","",BASE!H190)</f>
        <v/>
      </c>
      <c r="H190" s="33">
        <f>IF(BASE!I190="","",BASE!I190)</f>
        <v/>
      </c>
      <c r="I190" s="34">
        <f>IF(AND(ISNUMBER(G190),ISNUMBER(H190)),H190-G190,"")</f>
        <v/>
      </c>
      <c r="J190" s="35">
        <f>IF(AND(ISNUMBER(I190),G190&gt;0),I190/G190,"")</f>
        <v/>
      </c>
      <c r="K190" s="36">
        <f>BASE!Q190</f>
        <v/>
      </c>
      <c r="L190" s="37">
        <f>IF(BASE!C190="","",IF(BASE!H190="","PENDENTE: tempo padrão",IF(BASE!I190="","tempo real ausente (usa padrão)","")))</f>
        <v/>
      </c>
    </row>
    <row r="191">
      <c r="A191" s="11">
        <f>IF(BASE!A191="","",BASE!A191)</f>
        <v/>
      </c>
      <c r="B191" s="11">
        <f>IF(BASE!B191="","",BASE!B191)</f>
        <v/>
      </c>
      <c r="C191" s="11">
        <f>IF(BASE!C191="","",BASE!C191)</f>
        <v/>
      </c>
      <c r="D191" s="11">
        <f>IF(BASE!D191="","",BASE!D191)</f>
        <v/>
      </c>
      <c r="E191" s="11">
        <f>IF(BASE!E191="","",BASE!E191)</f>
        <v/>
      </c>
      <c r="F191" s="11">
        <f>IF(BASE!F191="","",BASE!F191)</f>
        <v/>
      </c>
      <c r="G191" s="33">
        <f>IF(BASE!H191="","",BASE!H191)</f>
        <v/>
      </c>
      <c r="H191" s="33">
        <f>IF(BASE!I191="","",BASE!I191)</f>
        <v/>
      </c>
      <c r="I191" s="34">
        <f>IF(AND(ISNUMBER(G191),ISNUMBER(H191)),H191-G191,"")</f>
        <v/>
      </c>
      <c r="J191" s="35">
        <f>IF(AND(ISNUMBER(I191),G191&gt;0),I191/G191,"")</f>
        <v/>
      </c>
      <c r="K191" s="36">
        <f>BASE!Q191</f>
        <v/>
      </c>
      <c r="L191" s="37">
        <f>IF(BASE!C191="","",IF(BASE!H191="","PENDENTE: tempo padrão",IF(BASE!I191="","tempo real ausente (usa padrão)","")))</f>
        <v/>
      </c>
    </row>
    <row r="192">
      <c r="A192" s="11">
        <f>IF(BASE!A192="","",BASE!A192)</f>
        <v/>
      </c>
      <c r="B192" s="11">
        <f>IF(BASE!B192="","",BASE!B192)</f>
        <v/>
      </c>
      <c r="C192" s="11">
        <f>IF(BASE!C192="","",BASE!C192)</f>
        <v/>
      </c>
      <c r="D192" s="11">
        <f>IF(BASE!D192="","",BASE!D192)</f>
        <v/>
      </c>
      <c r="E192" s="11">
        <f>IF(BASE!E192="","",BASE!E192)</f>
        <v/>
      </c>
      <c r="F192" s="11">
        <f>IF(BASE!F192="","",BASE!F192)</f>
        <v/>
      </c>
      <c r="G192" s="33">
        <f>IF(BASE!H192="","",BASE!H192)</f>
        <v/>
      </c>
      <c r="H192" s="33">
        <f>IF(BASE!I192="","",BASE!I192)</f>
        <v/>
      </c>
      <c r="I192" s="34">
        <f>IF(AND(ISNUMBER(G192),ISNUMBER(H192)),H192-G192,"")</f>
        <v/>
      </c>
      <c r="J192" s="35">
        <f>IF(AND(ISNUMBER(I192),G192&gt;0),I192/G192,"")</f>
        <v/>
      </c>
      <c r="K192" s="36">
        <f>BASE!Q192</f>
        <v/>
      </c>
      <c r="L192" s="37">
        <f>IF(BASE!C192="","",IF(BASE!H192="","PENDENTE: tempo padrão",IF(BASE!I192="","tempo real ausente (usa padrão)","")))</f>
        <v/>
      </c>
    </row>
    <row r="193">
      <c r="A193" s="11">
        <f>IF(BASE!A193="","",BASE!A193)</f>
        <v/>
      </c>
      <c r="B193" s="11">
        <f>IF(BASE!B193="","",BASE!B193)</f>
        <v/>
      </c>
      <c r="C193" s="11">
        <f>IF(BASE!C193="","",BASE!C193)</f>
        <v/>
      </c>
      <c r="D193" s="11">
        <f>IF(BASE!D193="","",BASE!D193)</f>
        <v/>
      </c>
      <c r="E193" s="11">
        <f>IF(BASE!E193="","",BASE!E193)</f>
        <v/>
      </c>
      <c r="F193" s="11">
        <f>IF(BASE!F193="","",BASE!F193)</f>
        <v/>
      </c>
      <c r="G193" s="33">
        <f>IF(BASE!H193="","",BASE!H193)</f>
        <v/>
      </c>
      <c r="H193" s="33">
        <f>IF(BASE!I193="","",BASE!I193)</f>
        <v/>
      </c>
      <c r="I193" s="34">
        <f>IF(AND(ISNUMBER(G193),ISNUMBER(H193)),H193-G193,"")</f>
        <v/>
      </c>
      <c r="J193" s="35">
        <f>IF(AND(ISNUMBER(I193),G193&gt;0),I193/G193,"")</f>
        <v/>
      </c>
      <c r="K193" s="36">
        <f>BASE!Q193</f>
        <v/>
      </c>
      <c r="L193" s="37">
        <f>IF(BASE!C193="","",IF(BASE!H193="","PENDENTE: tempo padrão",IF(BASE!I193="","tempo real ausente (usa padrão)","")))</f>
        <v/>
      </c>
    </row>
    <row r="194">
      <c r="A194" s="11">
        <f>IF(BASE!A194="","",BASE!A194)</f>
        <v/>
      </c>
      <c r="B194" s="11">
        <f>IF(BASE!B194="","",BASE!B194)</f>
        <v/>
      </c>
      <c r="C194" s="11">
        <f>IF(BASE!C194="","",BASE!C194)</f>
        <v/>
      </c>
      <c r="D194" s="11">
        <f>IF(BASE!D194="","",BASE!D194)</f>
        <v/>
      </c>
      <c r="E194" s="11">
        <f>IF(BASE!E194="","",BASE!E194)</f>
        <v/>
      </c>
      <c r="F194" s="11">
        <f>IF(BASE!F194="","",BASE!F194)</f>
        <v/>
      </c>
      <c r="G194" s="33">
        <f>IF(BASE!H194="","",BASE!H194)</f>
        <v/>
      </c>
      <c r="H194" s="33">
        <f>IF(BASE!I194="","",BASE!I194)</f>
        <v/>
      </c>
      <c r="I194" s="34">
        <f>IF(AND(ISNUMBER(G194),ISNUMBER(H194)),H194-G194,"")</f>
        <v/>
      </c>
      <c r="J194" s="35">
        <f>IF(AND(ISNUMBER(I194),G194&gt;0),I194/G194,"")</f>
        <v/>
      </c>
      <c r="K194" s="36">
        <f>BASE!Q194</f>
        <v/>
      </c>
      <c r="L194" s="37">
        <f>IF(BASE!C194="","",IF(BASE!H194="","PENDENTE: tempo padrão",IF(BASE!I194="","tempo real ausente (usa padrão)","")))</f>
        <v/>
      </c>
    </row>
    <row r="195">
      <c r="A195" s="11">
        <f>IF(BASE!A195="","",BASE!A195)</f>
        <v/>
      </c>
      <c r="B195" s="11">
        <f>IF(BASE!B195="","",BASE!B195)</f>
        <v/>
      </c>
      <c r="C195" s="11">
        <f>IF(BASE!C195="","",BASE!C195)</f>
        <v/>
      </c>
      <c r="D195" s="11">
        <f>IF(BASE!D195="","",BASE!D195)</f>
        <v/>
      </c>
      <c r="E195" s="11">
        <f>IF(BASE!E195="","",BASE!E195)</f>
        <v/>
      </c>
      <c r="F195" s="11">
        <f>IF(BASE!F195="","",BASE!F195)</f>
        <v/>
      </c>
      <c r="G195" s="33">
        <f>IF(BASE!H195="","",BASE!H195)</f>
        <v/>
      </c>
      <c r="H195" s="33">
        <f>IF(BASE!I195="","",BASE!I195)</f>
        <v/>
      </c>
      <c r="I195" s="34">
        <f>IF(AND(ISNUMBER(G195),ISNUMBER(H195)),H195-G195,"")</f>
        <v/>
      </c>
      <c r="J195" s="35">
        <f>IF(AND(ISNUMBER(I195),G195&gt;0),I195/G195,"")</f>
        <v/>
      </c>
      <c r="K195" s="36">
        <f>BASE!Q195</f>
        <v/>
      </c>
      <c r="L195" s="37">
        <f>IF(BASE!C195="","",IF(BASE!H195="","PENDENTE: tempo padrão",IF(BASE!I195="","tempo real ausente (usa padrão)","")))</f>
        <v/>
      </c>
    </row>
    <row r="196">
      <c r="A196" s="11">
        <f>IF(BASE!A196="","",BASE!A196)</f>
        <v/>
      </c>
      <c r="B196" s="11">
        <f>IF(BASE!B196="","",BASE!B196)</f>
        <v/>
      </c>
      <c r="C196" s="11">
        <f>IF(BASE!C196="","",BASE!C196)</f>
        <v/>
      </c>
      <c r="D196" s="11">
        <f>IF(BASE!D196="","",BASE!D196)</f>
        <v/>
      </c>
      <c r="E196" s="11">
        <f>IF(BASE!E196="","",BASE!E196)</f>
        <v/>
      </c>
      <c r="F196" s="11">
        <f>IF(BASE!F196="","",BASE!F196)</f>
        <v/>
      </c>
      <c r="G196" s="33">
        <f>IF(BASE!H196="","",BASE!H196)</f>
        <v/>
      </c>
      <c r="H196" s="33">
        <f>IF(BASE!I196="","",BASE!I196)</f>
        <v/>
      </c>
      <c r="I196" s="34">
        <f>IF(AND(ISNUMBER(G196),ISNUMBER(H196)),H196-G196,"")</f>
        <v/>
      </c>
      <c r="J196" s="35">
        <f>IF(AND(ISNUMBER(I196),G196&gt;0),I196/G196,"")</f>
        <v/>
      </c>
      <c r="K196" s="36">
        <f>BASE!Q196</f>
        <v/>
      </c>
      <c r="L196" s="37">
        <f>IF(BASE!C196="","",IF(BASE!H196="","PENDENTE: tempo padrão",IF(BASE!I196="","tempo real ausente (usa padrão)","")))</f>
        <v/>
      </c>
    </row>
    <row r="197">
      <c r="A197" s="11">
        <f>IF(BASE!A197="","",BASE!A197)</f>
        <v/>
      </c>
      <c r="B197" s="11">
        <f>IF(BASE!B197="","",BASE!B197)</f>
        <v/>
      </c>
      <c r="C197" s="11">
        <f>IF(BASE!C197="","",BASE!C197)</f>
        <v/>
      </c>
      <c r="D197" s="11">
        <f>IF(BASE!D197="","",BASE!D197)</f>
        <v/>
      </c>
      <c r="E197" s="11">
        <f>IF(BASE!E197="","",BASE!E197)</f>
        <v/>
      </c>
      <c r="F197" s="11">
        <f>IF(BASE!F197="","",BASE!F197)</f>
        <v/>
      </c>
      <c r="G197" s="33">
        <f>IF(BASE!H197="","",BASE!H197)</f>
        <v/>
      </c>
      <c r="H197" s="33">
        <f>IF(BASE!I197="","",BASE!I197)</f>
        <v/>
      </c>
      <c r="I197" s="34">
        <f>IF(AND(ISNUMBER(G197),ISNUMBER(H197)),H197-G197,"")</f>
        <v/>
      </c>
      <c r="J197" s="35">
        <f>IF(AND(ISNUMBER(I197),G197&gt;0),I197/G197,"")</f>
        <v/>
      </c>
      <c r="K197" s="36">
        <f>BASE!Q197</f>
        <v/>
      </c>
      <c r="L197" s="37">
        <f>IF(BASE!C197="","",IF(BASE!H197="","PENDENTE: tempo padrão",IF(BASE!I197="","tempo real ausente (usa padrão)","")))</f>
        <v/>
      </c>
    </row>
    <row r="198">
      <c r="A198" s="11">
        <f>IF(BASE!A198="","",BASE!A198)</f>
        <v/>
      </c>
      <c r="B198" s="11">
        <f>IF(BASE!B198="","",BASE!B198)</f>
        <v/>
      </c>
      <c r="C198" s="11">
        <f>IF(BASE!C198="","",BASE!C198)</f>
        <v/>
      </c>
      <c r="D198" s="11">
        <f>IF(BASE!D198="","",BASE!D198)</f>
        <v/>
      </c>
      <c r="E198" s="11">
        <f>IF(BASE!E198="","",BASE!E198)</f>
        <v/>
      </c>
      <c r="F198" s="11">
        <f>IF(BASE!F198="","",BASE!F198)</f>
        <v/>
      </c>
      <c r="G198" s="33">
        <f>IF(BASE!H198="","",BASE!H198)</f>
        <v/>
      </c>
      <c r="H198" s="33">
        <f>IF(BASE!I198="","",BASE!I198)</f>
        <v/>
      </c>
      <c r="I198" s="34">
        <f>IF(AND(ISNUMBER(G198),ISNUMBER(H198)),H198-G198,"")</f>
        <v/>
      </c>
      <c r="J198" s="35">
        <f>IF(AND(ISNUMBER(I198),G198&gt;0),I198/G198,"")</f>
        <v/>
      </c>
      <c r="K198" s="36">
        <f>BASE!Q198</f>
        <v/>
      </c>
      <c r="L198" s="37">
        <f>IF(BASE!C198="","",IF(BASE!H198="","PENDENTE: tempo padrão",IF(BASE!I198="","tempo real ausente (usa padrão)","")))</f>
        <v/>
      </c>
    </row>
    <row r="199">
      <c r="A199" s="11">
        <f>IF(BASE!A199="","",BASE!A199)</f>
        <v/>
      </c>
      <c r="B199" s="11">
        <f>IF(BASE!B199="","",BASE!B199)</f>
        <v/>
      </c>
      <c r="C199" s="11">
        <f>IF(BASE!C199="","",BASE!C199)</f>
        <v/>
      </c>
      <c r="D199" s="11">
        <f>IF(BASE!D199="","",BASE!D199)</f>
        <v/>
      </c>
      <c r="E199" s="11">
        <f>IF(BASE!E199="","",BASE!E199)</f>
        <v/>
      </c>
      <c r="F199" s="11">
        <f>IF(BASE!F199="","",BASE!F199)</f>
        <v/>
      </c>
      <c r="G199" s="33">
        <f>IF(BASE!H199="","",BASE!H199)</f>
        <v/>
      </c>
      <c r="H199" s="33">
        <f>IF(BASE!I199="","",BASE!I199)</f>
        <v/>
      </c>
      <c r="I199" s="34">
        <f>IF(AND(ISNUMBER(G199),ISNUMBER(H199)),H199-G199,"")</f>
        <v/>
      </c>
      <c r="J199" s="35">
        <f>IF(AND(ISNUMBER(I199),G199&gt;0),I199/G199,"")</f>
        <v/>
      </c>
      <c r="K199" s="36">
        <f>BASE!Q199</f>
        <v/>
      </c>
      <c r="L199" s="37">
        <f>IF(BASE!C199="","",IF(BASE!H199="","PENDENTE: tempo padrão",IF(BASE!I199="","tempo real ausente (usa padrão)","")))</f>
        <v/>
      </c>
    </row>
    <row r="200">
      <c r="A200" s="11">
        <f>IF(BASE!A200="","",BASE!A200)</f>
        <v/>
      </c>
      <c r="B200" s="11">
        <f>IF(BASE!B200="","",BASE!B200)</f>
        <v/>
      </c>
      <c r="C200" s="11">
        <f>IF(BASE!C200="","",BASE!C200)</f>
        <v/>
      </c>
      <c r="D200" s="11">
        <f>IF(BASE!D200="","",BASE!D200)</f>
        <v/>
      </c>
      <c r="E200" s="11">
        <f>IF(BASE!E200="","",BASE!E200)</f>
        <v/>
      </c>
      <c r="F200" s="11">
        <f>IF(BASE!F200="","",BASE!F200)</f>
        <v/>
      </c>
      <c r="G200" s="33">
        <f>IF(BASE!H200="","",BASE!H200)</f>
        <v/>
      </c>
      <c r="H200" s="33">
        <f>IF(BASE!I200="","",BASE!I200)</f>
        <v/>
      </c>
      <c r="I200" s="34">
        <f>IF(AND(ISNUMBER(G200),ISNUMBER(H200)),H200-G200,"")</f>
        <v/>
      </c>
      <c r="J200" s="35">
        <f>IF(AND(ISNUMBER(I200),G200&gt;0),I200/G200,"")</f>
        <v/>
      </c>
      <c r="K200" s="36">
        <f>BASE!Q200</f>
        <v/>
      </c>
      <c r="L200" s="37">
        <f>IF(BASE!C200="","",IF(BASE!H200="","PENDENTE: tempo padrão",IF(BASE!I200="","tempo real ausente (usa padrão)","")))</f>
        <v/>
      </c>
    </row>
    <row r="201">
      <c r="A201" s="11">
        <f>IF(BASE!A201="","",BASE!A201)</f>
        <v/>
      </c>
      <c r="B201" s="11">
        <f>IF(BASE!B201="","",BASE!B201)</f>
        <v/>
      </c>
      <c r="C201" s="11">
        <f>IF(BASE!C201="","",BASE!C201)</f>
        <v/>
      </c>
      <c r="D201" s="11">
        <f>IF(BASE!D201="","",BASE!D201)</f>
        <v/>
      </c>
      <c r="E201" s="11">
        <f>IF(BASE!E201="","",BASE!E201)</f>
        <v/>
      </c>
      <c r="F201" s="11">
        <f>IF(BASE!F201="","",BASE!F201)</f>
        <v/>
      </c>
      <c r="G201" s="33">
        <f>IF(BASE!H201="","",BASE!H201)</f>
        <v/>
      </c>
      <c r="H201" s="33">
        <f>IF(BASE!I201="","",BASE!I201)</f>
        <v/>
      </c>
      <c r="I201" s="34">
        <f>IF(AND(ISNUMBER(G201),ISNUMBER(H201)),H201-G201,"")</f>
        <v/>
      </c>
      <c r="J201" s="35">
        <f>IF(AND(ISNUMBER(I201),G201&gt;0),I201/G201,"")</f>
        <v/>
      </c>
      <c r="K201" s="36">
        <f>BASE!Q201</f>
        <v/>
      </c>
      <c r="L201" s="37">
        <f>IF(BASE!C201="","",IF(BASE!H201="","PENDENTE: tempo padrão",IF(BASE!I201="","tempo real ausente (usa padrão)","")))</f>
        <v/>
      </c>
    </row>
    <row r="202">
      <c r="A202" s="11">
        <f>IF(BASE!A202="","",BASE!A202)</f>
        <v/>
      </c>
      <c r="B202" s="11">
        <f>IF(BASE!B202="","",BASE!B202)</f>
        <v/>
      </c>
      <c r="C202" s="11">
        <f>IF(BASE!C202="","",BASE!C202)</f>
        <v/>
      </c>
      <c r="D202" s="11">
        <f>IF(BASE!D202="","",BASE!D202)</f>
        <v/>
      </c>
      <c r="E202" s="11">
        <f>IF(BASE!E202="","",BASE!E202)</f>
        <v/>
      </c>
      <c r="F202" s="11">
        <f>IF(BASE!F202="","",BASE!F202)</f>
        <v/>
      </c>
      <c r="G202" s="33">
        <f>IF(BASE!H202="","",BASE!H202)</f>
        <v/>
      </c>
      <c r="H202" s="33">
        <f>IF(BASE!I202="","",BASE!I202)</f>
        <v/>
      </c>
      <c r="I202" s="34">
        <f>IF(AND(ISNUMBER(G202),ISNUMBER(H202)),H202-G202,"")</f>
        <v/>
      </c>
      <c r="J202" s="35">
        <f>IF(AND(ISNUMBER(I202),G202&gt;0),I202/G202,"")</f>
        <v/>
      </c>
      <c r="K202" s="36">
        <f>BASE!Q202</f>
        <v/>
      </c>
      <c r="L202" s="37">
        <f>IF(BASE!C202="","",IF(BASE!H202="","PENDENTE: tempo padrão",IF(BASE!I202="","tempo real ausente (usa padrão)","")))</f>
        <v/>
      </c>
    </row>
    <row r="203">
      <c r="A203" s="11">
        <f>IF(BASE!A203="","",BASE!A203)</f>
        <v/>
      </c>
      <c r="B203" s="11">
        <f>IF(BASE!B203="","",BASE!B203)</f>
        <v/>
      </c>
      <c r="C203" s="11">
        <f>IF(BASE!C203="","",BASE!C203)</f>
        <v/>
      </c>
      <c r="D203" s="11">
        <f>IF(BASE!D203="","",BASE!D203)</f>
        <v/>
      </c>
      <c r="E203" s="11">
        <f>IF(BASE!E203="","",BASE!E203)</f>
        <v/>
      </c>
      <c r="F203" s="11">
        <f>IF(BASE!F203="","",BASE!F203)</f>
        <v/>
      </c>
      <c r="G203" s="33">
        <f>IF(BASE!H203="","",BASE!H203)</f>
        <v/>
      </c>
      <c r="H203" s="33">
        <f>IF(BASE!I203="","",BASE!I203)</f>
        <v/>
      </c>
      <c r="I203" s="34">
        <f>IF(AND(ISNUMBER(G203),ISNUMBER(H203)),H203-G203,"")</f>
        <v/>
      </c>
      <c r="J203" s="35">
        <f>IF(AND(ISNUMBER(I203),G203&gt;0),I203/G203,"")</f>
        <v/>
      </c>
      <c r="K203" s="36">
        <f>BASE!Q203</f>
        <v/>
      </c>
      <c r="L203" s="37">
        <f>IF(BASE!C203="","",IF(BASE!H203="","PENDENTE: tempo padrão",IF(BASE!I203="","tempo real ausente (usa padrão)","")))</f>
        <v/>
      </c>
    </row>
    <row r="204">
      <c r="A204" s="11">
        <f>IF(BASE!A204="","",BASE!A204)</f>
        <v/>
      </c>
      <c r="B204" s="11">
        <f>IF(BASE!B204="","",BASE!B204)</f>
        <v/>
      </c>
      <c r="C204" s="11">
        <f>IF(BASE!C204="","",BASE!C204)</f>
        <v/>
      </c>
      <c r="D204" s="11">
        <f>IF(BASE!D204="","",BASE!D204)</f>
        <v/>
      </c>
      <c r="E204" s="11">
        <f>IF(BASE!E204="","",BASE!E204)</f>
        <v/>
      </c>
      <c r="F204" s="11">
        <f>IF(BASE!F204="","",BASE!F204)</f>
        <v/>
      </c>
      <c r="G204" s="33">
        <f>IF(BASE!H204="","",BASE!H204)</f>
        <v/>
      </c>
      <c r="H204" s="33">
        <f>IF(BASE!I204="","",BASE!I204)</f>
        <v/>
      </c>
      <c r="I204" s="34">
        <f>IF(AND(ISNUMBER(G204),ISNUMBER(H204)),H204-G204,"")</f>
        <v/>
      </c>
      <c r="J204" s="35">
        <f>IF(AND(ISNUMBER(I204),G204&gt;0),I204/G204,"")</f>
        <v/>
      </c>
      <c r="K204" s="36">
        <f>BASE!Q204</f>
        <v/>
      </c>
      <c r="L204" s="37">
        <f>IF(BASE!C204="","",IF(BASE!H204="","PENDENTE: tempo padrão",IF(BASE!I204="","tempo real ausente (usa padrão)","")))</f>
        <v/>
      </c>
    </row>
    <row r="205">
      <c r="A205" s="11">
        <f>IF(BASE!A205="","",BASE!A205)</f>
        <v/>
      </c>
      <c r="B205" s="11">
        <f>IF(BASE!B205="","",BASE!B205)</f>
        <v/>
      </c>
      <c r="C205" s="11">
        <f>IF(BASE!C205="","",BASE!C205)</f>
        <v/>
      </c>
      <c r="D205" s="11">
        <f>IF(BASE!D205="","",BASE!D205)</f>
        <v/>
      </c>
      <c r="E205" s="11">
        <f>IF(BASE!E205="","",BASE!E205)</f>
        <v/>
      </c>
      <c r="F205" s="11">
        <f>IF(BASE!F205="","",BASE!F205)</f>
        <v/>
      </c>
      <c r="G205" s="33">
        <f>IF(BASE!H205="","",BASE!H205)</f>
        <v/>
      </c>
      <c r="H205" s="33">
        <f>IF(BASE!I205="","",BASE!I205)</f>
        <v/>
      </c>
      <c r="I205" s="34">
        <f>IF(AND(ISNUMBER(G205),ISNUMBER(H205)),H205-G205,"")</f>
        <v/>
      </c>
      <c r="J205" s="35">
        <f>IF(AND(ISNUMBER(I205),G205&gt;0),I205/G205,"")</f>
        <v/>
      </c>
      <c r="K205" s="36">
        <f>BASE!Q205</f>
        <v/>
      </c>
      <c r="L205" s="37">
        <f>IF(BASE!C205="","",IF(BASE!H205="","PENDENTE: tempo padrão",IF(BASE!I205="","tempo real ausente (usa padrão)","")))</f>
        <v/>
      </c>
    </row>
  </sheetData>
  <autoFilter ref="A5:L20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4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4" customWidth="1" min="11" max="11"/>
    <col width="13" customWidth="1" min="12" max="12"/>
    <col width="3" customWidth="1" min="13" max="13"/>
    <col width="10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DEMANDA E CARGA — cenário em análise</t>
        </is>
      </c>
    </row>
    <row r="2">
      <c r="A2" s="4" t="inlineStr">
        <is>
          <t>Carga por linha da BASE no cenário escolhido no Dashboard. Gargalo do fluxo = recurso de maior utilização entre as linhas da mesma peça/modelo.</t>
        </is>
      </c>
    </row>
    <row r="5" ht="32" customHeight="1">
      <c r="A5" s="5" t="inlineStr">
        <is>
          <t>Família</t>
        </is>
      </c>
      <c r="B5" s="5" t="inlineStr">
        <is>
          <t>Modelo</t>
        </is>
      </c>
      <c r="C5" s="5" t="inlineStr">
        <is>
          <t>Peça</t>
        </is>
      </c>
      <c r="D5" s="5" t="inlineStr">
        <is>
          <t>Processo</t>
        </is>
      </c>
      <c r="E5" s="5" t="inlineStr">
        <is>
          <t>Célula</t>
        </is>
      </c>
      <c r="F5" s="5" t="inlineStr">
        <is>
          <t>Máquina</t>
        </is>
      </c>
      <c r="G5" s="5" t="inlineStr">
        <is>
          <t>Demanda ajustada (pç)</t>
        </is>
      </c>
      <c r="H5" s="5" t="inlineStr">
        <is>
          <t>Carga h-homem</t>
        </is>
      </c>
      <c r="I5" s="5" t="inlineStr">
        <is>
          <t>Carga h-máquina</t>
        </is>
      </c>
      <c r="J5" s="5" t="inlineStr">
        <is>
          <t>Utilização do recurso</t>
        </is>
      </c>
      <c r="K5" s="5" t="inlineStr">
        <is>
          <t>Gargalo do fluxo</t>
        </is>
      </c>
      <c r="L5" s="5" t="inlineStr">
        <is>
          <t>Ordem (h total)</t>
        </is>
      </c>
      <c r="M5" s="5" t="inlineStr"/>
      <c r="N5" s="5" t="inlineStr">
        <is>
          <t>Família</t>
        </is>
      </c>
      <c r="O5" s="5" t="inlineStr">
        <is>
          <t>Demanda (pç)</t>
        </is>
      </c>
      <c r="P5" s="5" t="inlineStr">
        <is>
          <t>Carga h-homem</t>
        </is>
      </c>
      <c r="Q5" s="5" t="inlineStr">
        <is>
          <t>Carga h-máquina</t>
        </is>
      </c>
    </row>
    <row r="6">
      <c r="A6" s="11">
        <f>IF(BASE!A6="","",BASE!A6)</f>
        <v/>
      </c>
      <c r="B6" s="11">
        <f>IF(BASE!B6="","",BASE!B6)</f>
        <v/>
      </c>
      <c r="C6" s="11">
        <f>IF(BASE!C6="","",BASE!C6)</f>
        <v/>
      </c>
      <c r="D6" s="11">
        <f>IF(BASE!D6="","",BASE!D6)</f>
        <v/>
      </c>
      <c r="E6" s="11">
        <f>IF(BASE!E6="","",BASE!E6)</f>
        <v/>
      </c>
      <c r="F6" s="11">
        <f>IF(BASE!F6="","",BASE!F6)</f>
        <v/>
      </c>
      <c r="G6" s="28">
        <f>N(BASE!L6)*INDEX(PARAMETROS!$C$25:$F$25,PARAMETROS!$C$9)</f>
        <v/>
      </c>
      <c r="H6" s="14">
        <f>IF(E6="",0,INDEX(PARAMETROS!$C$25:$F$25,PARAMETROS!$C$9)/60*N(BASE!L6)*BASE!P6*(IF(INDEX(PARAMETROS!$C$27:$F$27,PARAMETROS!$C$9)="Real",BASE!N6,N(BASE!H6))*INDEX(PARAMETROS!$C$26:$F$26,PARAMETROS!$C$9)+BASE!O6))</f>
        <v/>
      </c>
      <c r="I6" s="14">
        <f>IF(F6="",0,INDEX(PARAMETROS!$C$25:$F$25,PARAMETROS!$C$9)/60*N(BASE!L6)*(IF(INDEX(PARAMETROS!$C$27:$F$27,PARAMETROS!$C$9)="Real",BASE!N6,N(BASE!H6))*INDEX(PARAMETROS!$C$26:$F$26,PARAMETROS!$C$9)+BASE!O6))</f>
        <v/>
      </c>
      <c r="J6" s="15">
        <f>MAX(IFERROR(INDEX(CAP_CELULA!$J$6:$J$65,(PARAMETROS!$C$9-1)*15+MATCH(E6,MAO_OBRA!$A$6:$A$20,0)),0),IFERROR(INDEX(USINAGEM!$I$6:$I$29,(PARAMETROS!$C$9-1)*6+MATCH(F6,PARAMETROS!$B$32:$B$37,0)),0))</f>
        <v/>
      </c>
      <c r="K6" s="12">
        <f>IF(AND(C6&lt;&gt;"",J6&gt;0,J6=SUMPRODUCT(MAX(($B$6:$B$205=B6)*($C$6:$C$205=C6)*$J$6:$J$205))),"◄ GARGALO","")</f>
        <v/>
      </c>
      <c r="L6" s="33">
        <f>H6+I6+ROW()/10000000</f>
        <v/>
      </c>
      <c r="N6" s="11">
        <f>PARAMETROS!B40</f>
        <v/>
      </c>
      <c r="O6" s="38">
        <f>SUMIF($A$6:$A$205,N6,$G$6:$G$205)</f>
        <v/>
      </c>
      <c r="P6" s="14">
        <f>SUMIF($A$6:$A$205,N6,$H$6:$H$205)</f>
        <v/>
      </c>
      <c r="Q6" s="14">
        <f>SUMIF($A$6:$A$205,N6,$I$6:$I$205)</f>
        <v/>
      </c>
    </row>
    <row r="7">
      <c r="A7" s="11">
        <f>IF(BASE!A7="","",BASE!A7)</f>
        <v/>
      </c>
      <c r="B7" s="11">
        <f>IF(BASE!B7="","",BASE!B7)</f>
        <v/>
      </c>
      <c r="C7" s="11">
        <f>IF(BASE!C7="","",BASE!C7)</f>
        <v/>
      </c>
      <c r="D7" s="11">
        <f>IF(BASE!D7="","",BASE!D7)</f>
        <v/>
      </c>
      <c r="E7" s="11">
        <f>IF(BASE!E7="","",BASE!E7)</f>
        <v/>
      </c>
      <c r="F7" s="11">
        <f>IF(BASE!F7="","",BASE!F7)</f>
        <v/>
      </c>
      <c r="G7" s="28">
        <f>N(BASE!L7)*INDEX(PARAMETROS!$C$25:$F$25,PARAMETROS!$C$9)</f>
        <v/>
      </c>
      <c r="H7" s="14">
        <f>IF(E7="",0,INDEX(PARAMETROS!$C$25:$F$25,PARAMETROS!$C$9)/60*N(BASE!L7)*BASE!P7*(IF(INDEX(PARAMETROS!$C$27:$F$27,PARAMETROS!$C$9)="Real",BASE!N7,N(BASE!H7))*INDEX(PARAMETROS!$C$26:$F$26,PARAMETROS!$C$9)+BASE!O7))</f>
        <v/>
      </c>
      <c r="I7" s="14">
        <f>IF(F7="",0,INDEX(PARAMETROS!$C$25:$F$25,PARAMETROS!$C$9)/60*N(BASE!L7)*(IF(INDEX(PARAMETROS!$C$27:$F$27,PARAMETROS!$C$9)="Real",BASE!N7,N(BASE!H7))*INDEX(PARAMETROS!$C$26:$F$26,PARAMETROS!$C$9)+BASE!O7))</f>
        <v/>
      </c>
      <c r="J7" s="15">
        <f>MAX(IFERROR(INDEX(CAP_CELULA!$J$6:$J$65,(PARAMETROS!$C$9-1)*15+MATCH(E7,MAO_OBRA!$A$6:$A$20,0)),0),IFERROR(INDEX(USINAGEM!$I$6:$I$29,(PARAMETROS!$C$9-1)*6+MATCH(F7,PARAMETROS!$B$32:$B$37,0)),0))</f>
        <v/>
      </c>
      <c r="K7" s="12">
        <f>IF(AND(C7&lt;&gt;"",J7&gt;0,J7=SUMPRODUCT(MAX(($B$6:$B$205=B7)*($C$6:$C$205=C7)*$J$6:$J$205))),"◄ GARGALO","")</f>
        <v/>
      </c>
      <c r="L7" s="33">
        <f>H7+I7+ROW()/10000000</f>
        <v/>
      </c>
      <c r="N7" s="11">
        <f>PARAMETROS!B41</f>
        <v/>
      </c>
      <c r="O7" s="38">
        <f>SUMIF($A$6:$A$205,N7,$G$6:$G$205)</f>
        <v/>
      </c>
      <c r="P7" s="14">
        <f>SUMIF($A$6:$A$205,N7,$H$6:$H$205)</f>
        <v/>
      </c>
      <c r="Q7" s="14">
        <f>SUMIF($A$6:$A$205,N7,$I$6:$I$205)</f>
        <v/>
      </c>
    </row>
    <row r="8">
      <c r="A8" s="11">
        <f>IF(BASE!A8="","",BASE!A8)</f>
        <v/>
      </c>
      <c r="B8" s="11">
        <f>IF(BASE!B8="","",BASE!B8)</f>
        <v/>
      </c>
      <c r="C8" s="11">
        <f>IF(BASE!C8="","",BASE!C8)</f>
        <v/>
      </c>
      <c r="D8" s="11">
        <f>IF(BASE!D8="","",BASE!D8)</f>
        <v/>
      </c>
      <c r="E8" s="11">
        <f>IF(BASE!E8="","",BASE!E8)</f>
        <v/>
      </c>
      <c r="F8" s="11">
        <f>IF(BASE!F8="","",BASE!F8)</f>
        <v/>
      </c>
      <c r="G8" s="28">
        <f>N(BASE!L8)*INDEX(PARAMETROS!$C$25:$F$25,PARAMETROS!$C$9)</f>
        <v/>
      </c>
      <c r="H8" s="14">
        <f>IF(E8="",0,INDEX(PARAMETROS!$C$25:$F$25,PARAMETROS!$C$9)/60*N(BASE!L8)*BASE!P8*(IF(INDEX(PARAMETROS!$C$27:$F$27,PARAMETROS!$C$9)="Real",BASE!N8,N(BASE!H8))*INDEX(PARAMETROS!$C$26:$F$26,PARAMETROS!$C$9)+BASE!O8))</f>
        <v/>
      </c>
      <c r="I8" s="14">
        <f>IF(F8="",0,INDEX(PARAMETROS!$C$25:$F$25,PARAMETROS!$C$9)/60*N(BASE!L8)*(IF(INDEX(PARAMETROS!$C$27:$F$27,PARAMETROS!$C$9)="Real",BASE!N8,N(BASE!H8))*INDEX(PARAMETROS!$C$26:$F$26,PARAMETROS!$C$9)+BASE!O8))</f>
        <v/>
      </c>
      <c r="J8" s="15">
        <f>MAX(IFERROR(INDEX(CAP_CELULA!$J$6:$J$65,(PARAMETROS!$C$9-1)*15+MATCH(E8,MAO_OBRA!$A$6:$A$20,0)),0),IFERROR(INDEX(USINAGEM!$I$6:$I$29,(PARAMETROS!$C$9-1)*6+MATCH(F8,PARAMETROS!$B$32:$B$37,0)),0))</f>
        <v/>
      </c>
      <c r="K8" s="12">
        <f>IF(AND(C8&lt;&gt;"",J8&gt;0,J8=SUMPRODUCT(MAX(($B$6:$B$205=B8)*($C$6:$C$205=C8)*$J$6:$J$205))),"◄ GARGALO","")</f>
        <v/>
      </c>
      <c r="L8" s="33">
        <f>H8+I8+ROW()/10000000</f>
        <v/>
      </c>
      <c r="N8" s="11">
        <f>PARAMETROS!B42</f>
        <v/>
      </c>
      <c r="O8" s="38">
        <f>SUMIF($A$6:$A$205,N8,$G$6:$G$205)</f>
        <v/>
      </c>
      <c r="P8" s="14">
        <f>SUMIF($A$6:$A$205,N8,$H$6:$H$205)</f>
        <v/>
      </c>
      <c r="Q8" s="14">
        <f>SUMIF($A$6:$A$205,N8,$I$6:$I$205)</f>
        <v/>
      </c>
    </row>
    <row r="9">
      <c r="A9" s="11">
        <f>IF(BASE!A9="","",BASE!A9)</f>
        <v/>
      </c>
      <c r="B9" s="11">
        <f>IF(BASE!B9="","",BASE!B9)</f>
        <v/>
      </c>
      <c r="C9" s="11">
        <f>IF(BASE!C9="","",BASE!C9)</f>
        <v/>
      </c>
      <c r="D9" s="11">
        <f>IF(BASE!D9="","",BASE!D9)</f>
        <v/>
      </c>
      <c r="E9" s="11">
        <f>IF(BASE!E9="","",BASE!E9)</f>
        <v/>
      </c>
      <c r="F9" s="11">
        <f>IF(BASE!F9="","",BASE!F9)</f>
        <v/>
      </c>
      <c r="G9" s="28">
        <f>N(BASE!L9)*INDEX(PARAMETROS!$C$25:$F$25,PARAMETROS!$C$9)</f>
        <v/>
      </c>
      <c r="H9" s="14">
        <f>IF(E9="",0,INDEX(PARAMETROS!$C$25:$F$25,PARAMETROS!$C$9)/60*N(BASE!L9)*BASE!P9*(IF(INDEX(PARAMETROS!$C$27:$F$27,PARAMETROS!$C$9)="Real",BASE!N9,N(BASE!H9))*INDEX(PARAMETROS!$C$26:$F$26,PARAMETROS!$C$9)+BASE!O9))</f>
        <v/>
      </c>
      <c r="I9" s="14">
        <f>IF(F9="",0,INDEX(PARAMETROS!$C$25:$F$25,PARAMETROS!$C$9)/60*N(BASE!L9)*(IF(INDEX(PARAMETROS!$C$27:$F$27,PARAMETROS!$C$9)="Real",BASE!N9,N(BASE!H9))*INDEX(PARAMETROS!$C$26:$F$26,PARAMETROS!$C$9)+BASE!O9))</f>
        <v/>
      </c>
      <c r="J9" s="15">
        <f>MAX(IFERROR(INDEX(CAP_CELULA!$J$6:$J$65,(PARAMETROS!$C$9-1)*15+MATCH(E9,MAO_OBRA!$A$6:$A$20,0)),0),IFERROR(INDEX(USINAGEM!$I$6:$I$29,(PARAMETROS!$C$9-1)*6+MATCH(F9,PARAMETROS!$B$32:$B$37,0)),0))</f>
        <v/>
      </c>
      <c r="K9" s="12">
        <f>IF(AND(C9&lt;&gt;"",J9&gt;0,J9=SUMPRODUCT(MAX(($B$6:$B$205=B9)*($C$6:$C$205=C9)*$J$6:$J$205))),"◄ GARGALO","")</f>
        <v/>
      </c>
      <c r="L9" s="33">
        <f>H9+I9+ROW()/10000000</f>
        <v/>
      </c>
      <c r="N9" s="11">
        <f>PARAMETROS!B43</f>
        <v/>
      </c>
      <c r="O9" s="38">
        <f>SUMIF($A$6:$A$205,N9,$G$6:$G$205)</f>
        <v/>
      </c>
      <c r="P9" s="14">
        <f>SUMIF($A$6:$A$205,N9,$H$6:$H$205)</f>
        <v/>
      </c>
      <c r="Q9" s="14">
        <f>SUMIF($A$6:$A$205,N9,$I$6:$I$205)</f>
        <v/>
      </c>
    </row>
    <row r="10">
      <c r="A10" s="11">
        <f>IF(BASE!A10="","",BASE!A10)</f>
        <v/>
      </c>
      <c r="B10" s="11">
        <f>IF(BASE!B10="","",BASE!B10)</f>
        <v/>
      </c>
      <c r="C10" s="11">
        <f>IF(BASE!C10="","",BASE!C10)</f>
        <v/>
      </c>
      <c r="D10" s="11">
        <f>IF(BASE!D10="","",BASE!D10)</f>
        <v/>
      </c>
      <c r="E10" s="11">
        <f>IF(BASE!E10="","",BASE!E10)</f>
        <v/>
      </c>
      <c r="F10" s="11">
        <f>IF(BASE!F10="","",BASE!F10)</f>
        <v/>
      </c>
      <c r="G10" s="28">
        <f>N(BASE!L10)*INDEX(PARAMETROS!$C$25:$F$25,PARAMETROS!$C$9)</f>
        <v/>
      </c>
      <c r="H10" s="14">
        <f>IF(E10="",0,INDEX(PARAMETROS!$C$25:$F$25,PARAMETROS!$C$9)/60*N(BASE!L10)*BASE!P10*(IF(INDEX(PARAMETROS!$C$27:$F$27,PARAMETROS!$C$9)="Real",BASE!N10,N(BASE!H10))*INDEX(PARAMETROS!$C$26:$F$26,PARAMETROS!$C$9)+BASE!O10))</f>
        <v/>
      </c>
      <c r="I10" s="14">
        <f>IF(F10="",0,INDEX(PARAMETROS!$C$25:$F$25,PARAMETROS!$C$9)/60*N(BASE!L10)*(IF(INDEX(PARAMETROS!$C$27:$F$27,PARAMETROS!$C$9)="Real",BASE!N10,N(BASE!H10))*INDEX(PARAMETROS!$C$26:$F$26,PARAMETROS!$C$9)+BASE!O10))</f>
        <v/>
      </c>
      <c r="J10" s="15">
        <f>MAX(IFERROR(INDEX(CAP_CELULA!$J$6:$J$65,(PARAMETROS!$C$9-1)*15+MATCH(E10,MAO_OBRA!$A$6:$A$20,0)),0),IFERROR(INDEX(USINAGEM!$I$6:$I$29,(PARAMETROS!$C$9-1)*6+MATCH(F10,PARAMETROS!$B$32:$B$37,0)),0))</f>
        <v/>
      </c>
      <c r="K10" s="12">
        <f>IF(AND(C10&lt;&gt;"",J10&gt;0,J10=SUMPRODUCT(MAX(($B$6:$B$205=B10)*($C$6:$C$205=C10)*$J$6:$J$205))),"◄ GARGALO","")</f>
        <v/>
      </c>
      <c r="L10" s="33">
        <f>H10+I10+ROW()/10000000</f>
        <v/>
      </c>
    </row>
    <row r="11">
      <c r="A11" s="11">
        <f>IF(BASE!A11="","",BASE!A11)</f>
        <v/>
      </c>
      <c r="B11" s="11">
        <f>IF(BASE!B11="","",BASE!B11)</f>
        <v/>
      </c>
      <c r="C11" s="11">
        <f>IF(BASE!C11="","",BASE!C11)</f>
        <v/>
      </c>
      <c r="D11" s="11">
        <f>IF(BASE!D11="","",BASE!D11)</f>
        <v/>
      </c>
      <c r="E11" s="11">
        <f>IF(BASE!E11="","",BASE!E11)</f>
        <v/>
      </c>
      <c r="F11" s="11">
        <f>IF(BASE!F11="","",BASE!F11)</f>
        <v/>
      </c>
      <c r="G11" s="28">
        <f>N(BASE!L11)*INDEX(PARAMETROS!$C$25:$F$25,PARAMETROS!$C$9)</f>
        <v/>
      </c>
      <c r="H11" s="14">
        <f>IF(E11="",0,INDEX(PARAMETROS!$C$25:$F$25,PARAMETROS!$C$9)/60*N(BASE!L11)*BASE!P11*(IF(INDEX(PARAMETROS!$C$27:$F$27,PARAMETROS!$C$9)="Real",BASE!N11,N(BASE!H11))*INDEX(PARAMETROS!$C$26:$F$26,PARAMETROS!$C$9)+BASE!O11))</f>
        <v/>
      </c>
      <c r="I11" s="14">
        <f>IF(F11="",0,INDEX(PARAMETROS!$C$25:$F$25,PARAMETROS!$C$9)/60*N(BASE!L11)*(IF(INDEX(PARAMETROS!$C$27:$F$27,PARAMETROS!$C$9)="Real",BASE!N11,N(BASE!H11))*INDEX(PARAMETROS!$C$26:$F$26,PARAMETROS!$C$9)+BASE!O11))</f>
        <v/>
      </c>
      <c r="J11" s="15">
        <f>MAX(IFERROR(INDEX(CAP_CELULA!$J$6:$J$65,(PARAMETROS!$C$9-1)*15+MATCH(E11,MAO_OBRA!$A$6:$A$20,0)),0),IFERROR(INDEX(USINAGEM!$I$6:$I$29,(PARAMETROS!$C$9-1)*6+MATCH(F11,PARAMETROS!$B$32:$B$37,0)),0))</f>
        <v/>
      </c>
      <c r="K11" s="12">
        <f>IF(AND(C11&lt;&gt;"",J11&gt;0,J11=SUMPRODUCT(MAX(($B$6:$B$205=B11)*($C$6:$C$205=C11)*$J$6:$J$205))),"◄ GARGALO","")</f>
        <v/>
      </c>
      <c r="L11" s="33">
        <f>H11+I11+ROW()/10000000</f>
        <v/>
      </c>
    </row>
    <row r="12">
      <c r="A12" s="11">
        <f>IF(BASE!A12="","",BASE!A12)</f>
        <v/>
      </c>
      <c r="B12" s="11">
        <f>IF(BASE!B12="","",BASE!B12)</f>
        <v/>
      </c>
      <c r="C12" s="11">
        <f>IF(BASE!C12="","",BASE!C12)</f>
        <v/>
      </c>
      <c r="D12" s="11">
        <f>IF(BASE!D12="","",BASE!D12)</f>
        <v/>
      </c>
      <c r="E12" s="11">
        <f>IF(BASE!E12="","",BASE!E12)</f>
        <v/>
      </c>
      <c r="F12" s="11">
        <f>IF(BASE!F12="","",BASE!F12)</f>
        <v/>
      </c>
      <c r="G12" s="28">
        <f>N(BASE!L12)*INDEX(PARAMETROS!$C$25:$F$25,PARAMETROS!$C$9)</f>
        <v/>
      </c>
      <c r="H12" s="14">
        <f>IF(E12="",0,INDEX(PARAMETROS!$C$25:$F$25,PARAMETROS!$C$9)/60*N(BASE!L12)*BASE!P12*(IF(INDEX(PARAMETROS!$C$27:$F$27,PARAMETROS!$C$9)="Real",BASE!N12,N(BASE!H12))*INDEX(PARAMETROS!$C$26:$F$26,PARAMETROS!$C$9)+BASE!O12))</f>
        <v/>
      </c>
      <c r="I12" s="14">
        <f>IF(F12="",0,INDEX(PARAMETROS!$C$25:$F$25,PARAMETROS!$C$9)/60*N(BASE!L12)*(IF(INDEX(PARAMETROS!$C$27:$F$27,PARAMETROS!$C$9)="Real",BASE!N12,N(BASE!H12))*INDEX(PARAMETROS!$C$26:$F$26,PARAMETROS!$C$9)+BASE!O12))</f>
        <v/>
      </c>
      <c r="J12" s="15">
        <f>MAX(IFERROR(INDEX(CAP_CELULA!$J$6:$J$65,(PARAMETROS!$C$9-1)*15+MATCH(E12,MAO_OBRA!$A$6:$A$20,0)),0),IFERROR(INDEX(USINAGEM!$I$6:$I$29,(PARAMETROS!$C$9-1)*6+MATCH(F12,PARAMETROS!$B$32:$B$37,0)),0))</f>
        <v/>
      </c>
      <c r="K12" s="12">
        <f>IF(AND(C12&lt;&gt;"",J12&gt;0,J12=SUMPRODUCT(MAX(($B$6:$B$205=B12)*($C$6:$C$205=C12)*$J$6:$J$205))),"◄ GARGALO","")</f>
        <v/>
      </c>
      <c r="L12" s="33">
        <f>H12+I12+ROW()/10000000</f>
        <v/>
      </c>
    </row>
    <row r="13">
      <c r="A13" s="11">
        <f>IF(BASE!A13="","",BASE!A13)</f>
        <v/>
      </c>
      <c r="B13" s="11">
        <f>IF(BASE!B13="","",BASE!B13)</f>
        <v/>
      </c>
      <c r="C13" s="11">
        <f>IF(BASE!C13="","",BASE!C13)</f>
        <v/>
      </c>
      <c r="D13" s="11">
        <f>IF(BASE!D13="","",BASE!D13)</f>
        <v/>
      </c>
      <c r="E13" s="11">
        <f>IF(BASE!E13="","",BASE!E13)</f>
        <v/>
      </c>
      <c r="F13" s="11">
        <f>IF(BASE!F13="","",BASE!F13)</f>
        <v/>
      </c>
      <c r="G13" s="28">
        <f>N(BASE!L13)*INDEX(PARAMETROS!$C$25:$F$25,PARAMETROS!$C$9)</f>
        <v/>
      </c>
      <c r="H13" s="14">
        <f>IF(E13="",0,INDEX(PARAMETROS!$C$25:$F$25,PARAMETROS!$C$9)/60*N(BASE!L13)*BASE!P13*(IF(INDEX(PARAMETROS!$C$27:$F$27,PARAMETROS!$C$9)="Real",BASE!N13,N(BASE!H13))*INDEX(PARAMETROS!$C$26:$F$26,PARAMETROS!$C$9)+BASE!O13))</f>
        <v/>
      </c>
      <c r="I13" s="14">
        <f>IF(F13="",0,INDEX(PARAMETROS!$C$25:$F$25,PARAMETROS!$C$9)/60*N(BASE!L13)*(IF(INDEX(PARAMETROS!$C$27:$F$27,PARAMETROS!$C$9)="Real",BASE!N13,N(BASE!H13))*INDEX(PARAMETROS!$C$26:$F$26,PARAMETROS!$C$9)+BASE!O13))</f>
        <v/>
      </c>
      <c r="J13" s="15">
        <f>MAX(IFERROR(INDEX(CAP_CELULA!$J$6:$J$65,(PARAMETROS!$C$9-1)*15+MATCH(E13,MAO_OBRA!$A$6:$A$20,0)),0),IFERROR(INDEX(USINAGEM!$I$6:$I$29,(PARAMETROS!$C$9-1)*6+MATCH(F13,PARAMETROS!$B$32:$B$37,0)),0))</f>
        <v/>
      </c>
      <c r="K13" s="12">
        <f>IF(AND(C13&lt;&gt;"",J13&gt;0,J13=SUMPRODUCT(MAX(($B$6:$B$205=B13)*($C$6:$C$205=C13)*$J$6:$J$205))),"◄ GARGALO","")</f>
        <v/>
      </c>
      <c r="L13" s="33">
        <f>H13+I13+ROW()/10000000</f>
        <v/>
      </c>
    </row>
    <row r="14">
      <c r="A14" s="11">
        <f>IF(BASE!A14="","",BASE!A14)</f>
        <v/>
      </c>
      <c r="B14" s="11">
        <f>IF(BASE!B14="","",BASE!B14)</f>
        <v/>
      </c>
      <c r="C14" s="11">
        <f>IF(BASE!C14="","",BASE!C14)</f>
        <v/>
      </c>
      <c r="D14" s="11">
        <f>IF(BASE!D14="","",BASE!D14)</f>
        <v/>
      </c>
      <c r="E14" s="11">
        <f>IF(BASE!E14="","",BASE!E14)</f>
        <v/>
      </c>
      <c r="F14" s="11">
        <f>IF(BASE!F14="","",BASE!F14)</f>
        <v/>
      </c>
      <c r="G14" s="28">
        <f>N(BASE!L14)*INDEX(PARAMETROS!$C$25:$F$25,PARAMETROS!$C$9)</f>
        <v/>
      </c>
      <c r="H14" s="14">
        <f>IF(E14="",0,INDEX(PARAMETROS!$C$25:$F$25,PARAMETROS!$C$9)/60*N(BASE!L14)*BASE!P14*(IF(INDEX(PARAMETROS!$C$27:$F$27,PARAMETROS!$C$9)="Real",BASE!N14,N(BASE!H14))*INDEX(PARAMETROS!$C$26:$F$26,PARAMETROS!$C$9)+BASE!O14))</f>
        <v/>
      </c>
      <c r="I14" s="14">
        <f>IF(F14="",0,INDEX(PARAMETROS!$C$25:$F$25,PARAMETROS!$C$9)/60*N(BASE!L14)*(IF(INDEX(PARAMETROS!$C$27:$F$27,PARAMETROS!$C$9)="Real",BASE!N14,N(BASE!H14))*INDEX(PARAMETROS!$C$26:$F$26,PARAMETROS!$C$9)+BASE!O14))</f>
        <v/>
      </c>
      <c r="J14" s="15">
        <f>MAX(IFERROR(INDEX(CAP_CELULA!$J$6:$J$65,(PARAMETROS!$C$9-1)*15+MATCH(E14,MAO_OBRA!$A$6:$A$20,0)),0),IFERROR(INDEX(USINAGEM!$I$6:$I$29,(PARAMETROS!$C$9-1)*6+MATCH(F14,PARAMETROS!$B$32:$B$37,0)),0))</f>
        <v/>
      </c>
      <c r="K14" s="12">
        <f>IF(AND(C14&lt;&gt;"",J14&gt;0,J14=SUMPRODUCT(MAX(($B$6:$B$205=B14)*($C$6:$C$205=C14)*$J$6:$J$205))),"◄ GARGALO","")</f>
        <v/>
      </c>
      <c r="L14" s="33">
        <f>H14+I14+ROW()/10000000</f>
        <v/>
      </c>
    </row>
    <row r="15">
      <c r="A15" s="11">
        <f>IF(BASE!A15="","",BASE!A15)</f>
        <v/>
      </c>
      <c r="B15" s="11">
        <f>IF(BASE!B15="","",BASE!B15)</f>
        <v/>
      </c>
      <c r="C15" s="11">
        <f>IF(BASE!C15="","",BASE!C15)</f>
        <v/>
      </c>
      <c r="D15" s="11">
        <f>IF(BASE!D15="","",BASE!D15)</f>
        <v/>
      </c>
      <c r="E15" s="11">
        <f>IF(BASE!E15="","",BASE!E15)</f>
        <v/>
      </c>
      <c r="F15" s="11">
        <f>IF(BASE!F15="","",BASE!F15)</f>
        <v/>
      </c>
      <c r="G15" s="28">
        <f>N(BASE!L15)*INDEX(PARAMETROS!$C$25:$F$25,PARAMETROS!$C$9)</f>
        <v/>
      </c>
      <c r="H15" s="14">
        <f>IF(E15="",0,INDEX(PARAMETROS!$C$25:$F$25,PARAMETROS!$C$9)/60*N(BASE!L15)*BASE!P15*(IF(INDEX(PARAMETROS!$C$27:$F$27,PARAMETROS!$C$9)="Real",BASE!N15,N(BASE!H15))*INDEX(PARAMETROS!$C$26:$F$26,PARAMETROS!$C$9)+BASE!O15))</f>
        <v/>
      </c>
      <c r="I15" s="14">
        <f>IF(F15="",0,INDEX(PARAMETROS!$C$25:$F$25,PARAMETROS!$C$9)/60*N(BASE!L15)*(IF(INDEX(PARAMETROS!$C$27:$F$27,PARAMETROS!$C$9)="Real",BASE!N15,N(BASE!H15))*INDEX(PARAMETROS!$C$26:$F$26,PARAMETROS!$C$9)+BASE!O15))</f>
        <v/>
      </c>
      <c r="J15" s="15">
        <f>MAX(IFERROR(INDEX(CAP_CELULA!$J$6:$J$65,(PARAMETROS!$C$9-1)*15+MATCH(E15,MAO_OBRA!$A$6:$A$20,0)),0),IFERROR(INDEX(USINAGEM!$I$6:$I$29,(PARAMETROS!$C$9-1)*6+MATCH(F15,PARAMETROS!$B$32:$B$37,0)),0))</f>
        <v/>
      </c>
      <c r="K15" s="12">
        <f>IF(AND(C15&lt;&gt;"",J15&gt;0,J15=SUMPRODUCT(MAX(($B$6:$B$205=B15)*($C$6:$C$205=C15)*$J$6:$J$205))),"◄ GARGALO","")</f>
        <v/>
      </c>
      <c r="L15" s="33">
        <f>H15+I15+ROW()/10000000</f>
        <v/>
      </c>
    </row>
    <row r="16">
      <c r="A16" s="11">
        <f>IF(BASE!A16="","",BASE!A16)</f>
        <v/>
      </c>
      <c r="B16" s="11">
        <f>IF(BASE!B16="","",BASE!B16)</f>
        <v/>
      </c>
      <c r="C16" s="11">
        <f>IF(BASE!C16="","",BASE!C16)</f>
        <v/>
      </c>
      <c r="D16" s="11">
        <f>IF(BASE!D16="","",BASE!D16)</f>
        <v/>
      </c>
      <c r="E16" s="11">
        <f>IF(BASE!E16="","",BASE!E16)</f>
        <v/>
      </c>
      <c r="F16" s="11">
        <f>IF(BASE!F16="","",BASE!F16)</f>
        <v/>
      </c>
      <c r="G16" s="28">
        <f>N(BASE!L16)*INDEX(PARAMETROS!$C$25:$F$25,PARAMETROS!$C$9)</f>
        <v/>
      </c>
      <c r="H16" s="14">
        <f>IF(E16="",0,INDEX(PARAMETROS!$C$25:$F$25,PARAMETROS!$C$9)/60*N(BASE!L16)*BASE!P16*(IF(INDEX(PARAMETROS!$C$27:$F$27,PARAMETROS!$C$9)="Real",BASE!N16,N(BASE!H16))*INDEX(PARAMETROS!$C$26:$F$26,PARAMETROS!$C$9)+BASE!O16))</f>
        <v/>
      </c>
      <c r="I16" s="14">
        <f>IF(F16="",0,INDEX(PARAMETROS!$C$25:$F$25,PARAMETROS!$C$9)/60*N(BASE!L16)*(IF(INDEX(PARAMETROS!$C$27:$F$27,PARAMETROS!$C$9)="Real",BASE!N16,N(BASE!H16))*INDEX(PARAMETROS!$C$26:$F$26,PARAMETROS!$C$9)+BASE!O16))</f>
        <v/>
      </c>
      <c r="J16" s="15">
        <f>MAX(IFERROR(INDEX(CAP_CELULA!$J$6:$J$65,(PARAMETROS!$C$9-1)*15+MATCH(E16,MAO_OBRA!$A$6:$A$20,0)),0),IFERROR(INDEX(USINAGEM!$I$6:$I$29,(PARAMETROS!$C$9-1)*6+MATCH(F16,PARAMETROS!$B$32:$B$37,0)),0))</f>
        <v/>
      </c>
      <c r="K16" s="12">
        <f>IF(AND(C16&lt;&gt;"",J16&gt;0,J16=SUMPRODUCT(MAX(($B$6:$B$205=B16)*($C$6:$C$205=C16)*$J$6:$J$205))),"◄ GARGALO","")</f>
        <v/>
      </c>
      <c r="L16" s="33">
        <f>H16+I16+ROW()/10000000</f>
        <v/>
      </c>
    </row>
    <row r="17">
      <c r="A17" s="11">
        <f>IF(BASE!A17="","",BASE!A17)</f>
        <v/>
      </c>
      <c r="B17" s="11">
        <f>IF(BASE!B17="","",BASE!B17)</f>
        <v/>
      </c>
      <c r="C17" s="11">
        <f>IF(BASE!C17="","",BASE!C17)</f>
        <v/>
      </c>
      <c r="D17" s="11">
        <f>IF(BASE!D17="","",BASE!D17)</f>
        <v/>
      </c>
      <c r="E17" s="11">
        <f>IF(BASE!E17="","",BASE!E17)</f>
        <v/>
      </c>
      <c r="F17" s="11">
        <f>IF(BASE!F17="","",BASE!F17)</f>
        <v/>
      </c>
      <c r="G17" s="28">
        <f>N(BASE!L17)*INDEX(PARAMETROS!$C$25:$F$25,PARAMETROS!$C$9)</f>
        <v/>
      </c>
      <c r="H17" s="14">
        <f>IF(E17="",0,INDEX(PARAMETROS!$C$25:$F$25,PARAMETROS!$C$9)/60*N(BASE!L17)*BASE!P17*(IF(INDEX(PARAMETROS!$C$27:$F$27,PARAMETROS!$C$9)="Real",BASE!N17,N(BASE!H17))*INDEX(PARAMETROS!$C$26:$F$26,PARAMETROS!$C$9)+BASE!O17))</f>
        <v/>
      </c>
      <c r="I17" s="14">
        <f>IF(F17="",0,INDEX(PARAMETROS!$C$25:$F$25,PARAMETROS!$C$9)/60*N(BASE!L17)*(IF(INDEX(PARAMETROS!$C$27:$F$27,PARAMETROS!$C$9)="Real",BASE!N17,N(BASE!H17))*INDEX(PARAMETROS!$C$26:$F$26,PARAMETROS!$C$9)+BASE!O17))</f>
        <v/>
      </c>
      <c r="J17" s="15">
        <f>MAX(IFERROR(INDEX(CAP_CELULA!$J$6:$J$65,(PARAMETROS!$C$9-1)*15+MATCH(E17,MAO_OBRA!$A$6:$A$20,0)),0),IFERROR(INDEX(USINAGEM!$I$6:$I$29,(PARAMETROS!$C$9-1)*6+MATCH(F17,PARAMETROS!$B$32:$B$37,0)),0))</f>
        <v/>
      </c>
      <c r="K17" s="12">
        <f>IF(AND(C17&lt;&gt;"",J17&gt;0,J17=SUMPRODUCT(MAX(($B$6:$B$205=B17)*($C$6:$C$205=C17)*$J$6:$J$205))),"◄ GARGALO","")</f>
        <v/>
      </c>
      <c r="L17" s="33">
        <f>H17+I17+ROW()/10000000</f>
        <v/>
      </c>
    </row>
    <row r="18">
      <c r="A18" s="11">
        <f>IF(BASE!A18="","",BASE!A18)</f>
        <v/>
      </c>
      <c r="B18" s="11">
        <f>IF(BASE!B18="","",BASE!B18)</f>
        <v/>
      </c>
      <c r="C18" s="11">
        <f>IF(BASE!C18="","",BASE!C18)</f>
        <v/>
      </c>
      <c r="D18" s="11">
        <f>IF(BASE!D18="","",BASE!D18)</f>
        <v/>
      </c>
      <c r="E18" s="11">
        <f>IF(BASE!E18="","",BASE!E18)</f>
        <v/>
      </c>
      <c r="F18" s="11">
        <f>IF(BASE!F18="","",BASE!F18)</f>
        <v/>
      </c>
      <c r="G18" s="28">
        <f>N(BASE!L18)*INDEX(PARAMETROS!$C$25:$F$25,PARAMETROS!$C$9)</f>
        <v/>
      </c>
      <c r="H18" s="14">
        <f>IF(E18="",0,INDEX(PARAMETROS!$C$25:$F$25,PARAMETROS!$C$9)/60*N(BASE!L18)*BASE!P18*(IF(INDEX(PARAMETROS!$C$27:$F$27,PARAMETROS!$C$9)="Real",BASE!N18,N(BASE!H18))*INDEX(PARAMETROS!$C$26:$F$26,PARAMETROS!$C$9)+BASE!O18))</f>
        <v/>
      </c>
      <c r="I18" s="14">
        <f>IF(F18="",0,INDEX(PARAMETROS!$C$25:$F$25,PARAMETROS!$C$9)/60*N(BASE!L18)*(IF(INDEX(PARAMETROS!$C$27:$F$27,PARAMETROS!$C$9)="Real",BASE!N18,N(BASE!H18))*INDEX(PARAMETROS!$C$26:$F$26,PARAMETROS!$C$9)+BASE!O18))</f>
        <v/>
      </c>
      <c r="J18" s="15">
        <f>MAX(IFERROR(INDEX(CAP_CELULA!$J$6:$J$65,(PARAMETROS!$C$9-1)*15+MATCH(E18,MAO_OBRA!$A$6:$A$20,0)),0),IFERROR(INDEX(USINAGEM!$I$6:$I$29,(PARAMETROS!$C$9-1)*6+MATCH(F18,PARAMETROS!$B$32:$B$37,0)),0))</f>
        <v/>
      </c>
      <c r="K18" s="12">
        <f>IF(AND(C18&lt;&gt;"",J18&gt;0,J18=SUMPRODUCT(MAX(($B$6:$B$205=B18)*($C$6:$C$205=C18)*$J$6:$J$205))),"◄ GARGALO","")</f>
        <v/>
      </c>
      <c r="L18" s="33">
        <f>H18+I18+ROW()/10000000</f>
        <v/>
      </c>
    </row>
    <row r="19">
      <c r="A19" s="11">
        <f>IF(BASE!A19="","",BASE!A19)</f>
        <v/>
      </c>
      <c r="B19" s="11">
        <f>IF(BASE!B19="","",BASE!B19)</f>
        <v/>
      </c>
      <c r="C19" s="11">
        <f>IF(BASE!C19="","",BASE!C19)</f>
        <v/>
      </c>
      <c r="D19" s="11">
        <f>IF(BASE!D19="","",BASE!D19)</f>
        <v/>
      </c>
      <c r="E19" s="11">
        <f>IF(BASE!E19="","",BASE!E19)</f>
        <v/>
      </c>
      <c r="F19" s="11">
        <f>IF(BASE!F19="","",BASE!F19)</f>
        <v/>
      </c>
      <c r="G19" s="28">
        <f>N(BASE!L19)*INDEX(PARAMETROS!$C$25:$F$25,PARAMETROS!$C$9)</f>
        <v/>
      </c>
      <c r="H19" s="14">
        <f>IF(E19="",0,INDEX(PARAMETROS!$C$25:$F$25,PARAMETROS!$C$9)/60*N(BASE!L19)*BASE!P19*(IF(INDEX(PARAMETROS!$C$27:$F$27,PARAMETROS!$C$9)="Real",BASE!N19,N(BASE!H19))*INDEX(PARAMETROS!$C$26:$F$26,PARAMETROS!$C$9)+BASE!O19))</f>
        <v/>
      </c>
      <c r="I19" s="14">
        <f>IF(F19="",0,INDEX(PARAMETROS!$C$25:$F$25,PARAMETROS!$C$9)/60*N(BASE!L19)*(IF(INDEX(PARAMETROS!$C$27:$F$27,PARAMETROS!$C$9)="Real",BASE!N19,N(BASE!H19))*INDEX(PARAMETROS!$C$26:$F$26,PARAMETROS!$C$9)+BASE!O19))</f>
        <v/>
      </c>
      <c r="J19" s="15">
        <f>MAX(IFERROR(INDEX(CAP_CELULA!$J$6:$J$65,(PARAMETROS!$C$9-1)*15+MATCH(E19,MAO_OBRA!$A$6:$A$20,0)),0),IFERROR(INDEX(USINAGEM!$I$6:$I$29,(PARAMETROS!$C$9-1)*6+MATCH(F19,PARAMETROS!$B$32:$B$37,0)),0))</f>
        <v/>
      </c>
      <c r="K19" s="12">
        <f>IF(AND(C19&lt;&gt;"",J19&gt;0,J19=SUMPRODUCT(MAX(($B$6:$B$205=B19)*($C$6:$C$205=C19)*$J$6:$J$205))),"◄ GARGALO","")</f>
        <v/>
      </c>
      <c r="L19" s="33">
        <f>H19+I19+ROW()/10000000</f>
        <v/>
      </c>
    </row>
    <row r="20">
      <c r="A20" s="11">
        <f>IF(BASE!A20="","",BASE!A20)</f>
        <v/>
      </c>
      <c r="B20" s="11">
        <f>IF(BASE!B20="","",BASE!B20)</f>
        <v/>
      </c>
      <c r="C20" s="11">
        <f>IF(BASE!C20="","",BASE!C20)</f>
        <v/>
      </c>
      <c r="D20" s="11">
        <f>IF(BASE!D20="","",BASE!D20)</f>
        <v/>
      </c>
      <c r="E20" s="11">
        <f>IF(BASE!E20="","",BASE!E20)</f>
        <v/>
      </c>
      <c r="F20" s="11">
        <f>IF(BASE!F20="","",BASE!F20)</f>
        <v/>
      </c>
      <c r="G20" s="28">
        <f>N(BASE!L20)*INDEX(PARAMETROS!$C$25:$F$25,PARAMETROS!$C$9)</f>
        <v/>
      </c>
      <c r="H20" s="14">
        <f>IF(E20="",0,INDEX(PARAMETROS!$C$25:$F$25,PARAMETROS!$C$9)/60*N(BASE!L20)*BASE!P20*(IF(INDEX(PARAMETROS!$C$27:$F$27,PARAMETROS!$C$9)="Real",BASE!N20,N(BASE!H20))*INDEX(PARAMETROS!$C$26:$F$26,PARAMETROS!$C$9)+BASE!O20))</f>
        <v/>
      </c>
      <c r="I20" s="14">
        <f>IF(F20="",0,INDEX(PARAMETROS!$C$25:$F$25,PARAMETROS!$C$9)/60*N(BASE!L20)*(IF(INDEX(PARAMETROS!$C$27:$F$27,PARAMETROS!$C$9)="Real",BASE!N20,N(BASE!H20))*INDEX(PARAMETROS!$C$26:$F$26,PARAMETROS!$C$9)+BASE!O20))</f>
        <v/>
      </c>
      <c r="J20" s="15">
        <f>MAX(IFERROR(INDEX(CAP_CELULA!$J$6:$J$65,(PARAMETROS!$C$9-1)*15+MATCH(E20,MAO_OBRA!$A$6:$A$20,0)),0),IFERROR(INDEX(USINAGEM!$I$6:$I$29,(PARAMETROS!$C$9-1)*6+MATCH(F20,PARAMETROS!$B$32:$B$37,0)),0))</f>
        <v/>
      </c>
      <c r="K20" s="12">
        <f>IF(AND(C20&lt;&gt;"",J20&gt;0,J20=SUMPRODUCT(MAX(($B$6:$B$205=B20)*($C$6:$C$205=C20)*$J$6:$J$205))),"◄ GARGALO","")</f>
        <v/>
      </c>
      <c r="L20" s="33">
        <f>H20+I20+ROW()/10000000</f>
        <v/>
      </c>
    </row>
    <row r="21">
      <c r="A21" s="11">
        <f>IF(BASE!A21="","",BASE!A21)</f>
        <v/>
      </c>
      <c r="B21" s="11">
        <f>IF(BASE!B21="","",BASE!B21)</f>
        <v/>
      </c>
      <c r="C21" s="11">
        <f>IF(BASE!C21="","",BASE!C21)</f>
        <v/>
      </c>
      <c r="D21" s="11">
        <f>IF(BASE!D21="","",BASE!D21)</f>
        <v/>
      </c>
      <c r="E21" s="11">
        <f>IF(BASE!E21="","",BASE!E21)</f>
        <v/>
      </c>
      <c r="F21" s="11">
        <f>IF(BASE!F21="","",BASE!F21)</f>
        <v/>
      </c>
      <c r="G21" s="28">
        <f>N(BASE!L21)*INDEX(PARAMETROS!$C$25:$F$25,PARAMETROS!$C$9)</f>
        <v/>
      </c>
      <c r="H21" s="14">
        <f>IF(E21="",0,INDEX(PARAMETROS!$C$25:$F$25,PARAMETROS!$C$9)/60*N(BASE!L21)*BASE!P21*(IF(INDEX(PARAMETROS!$C$27:$F$27,PARAMETROS!$C$9)="Real",BASE!N21,N(BASE!H21))*INDEX(PARAMETROS!$C$26:$F$26,PARAMETROS!$C$9)+BASE!O21))</f>
        <v/>
      </c>
      <c r="I21" s="14">
        <f>IF(F21="",0,INDEX(PARAMETROS!$C$25:$F$25,PARAMETROS!$C$9)/60*N(BASE!L21)*(IF(INDEX(PARAMETROS!$C$27:$F$27,PARAMETROS!$C$9)="Real",BASE!N21,N(BASE!H21))*INDEX(PARAMETROS!$C$26:$F$26,PARAMETROS!$C$9)+BASE!O21))</f>
        <v/>
      </c>
      <c r="J21" s="15">
        <f>MAX(IFERROR(INDEX(CAP_CELULA!$J$6:$J$65,(PARAMETROS!$C$9-1)*15+MATCH(E21,MAO_OBRA!$A$6:$A$20,0)),0),IFERROR(INDEX(USINAGEM!$I$6:$I$29,(PARAMETROS!$C$9-1)*6+MATCH(F21,PARAMETROS!$B$32:$B$37,0)),0))</f>
        <v/>
      </c>
      <c r="K21" s="12">
        <f>IF(AND(C21&lt;&gt;"",J21&gt;0,J21=SUMPRODUCT(MAX(($B$6:$B$205=B21)*($C$6:$C$205=C21)*$J$6:$J$205))),"◄ GARGALO","")</f>
        <v/>
      </c>
      <c r="L21" s="33">
        <f>H21+I21+ROW()/10000000</f>
        <v/>
      </c>
    </row>
    <row r="22">
      <c r="A22" s="11">
        <f>IF(BASE!A22="","",BASE!A22)</f>
        <v/>
      </c>
      <c r="B22" s="11">
        <f>IF(BASE!B22="","",BASE!B22)</f>
        <v/>
      </c>
      <c r="C22" s="11">
        <f>IF(BASE!C22="","",BASE!C22)</f>
        <v/>
      </c>
      <c r="D22" s="11">
        <f>IF(BASE!D22="","",BASE!D22)</f>
        <v/>
      </c>
      <c r="E22" s="11">
        <f>IF(BASE!E22="","",BASE!E22)</f>
        <v/>
      </c>
      <c r="F22" s="11">
        <f>IF(BASE!F22="","",BASE!F22)</f>
        <v/>
      </c>
      <c r="G22" s="28">
        <f>N(BASE!L22)*INDEX(PARAMETROS!$C$25:$F$25,PARAMETROS!$C$9)</f>
        <v/>
      </c>
      <c r="H22" s="14">
        <f>IF(E22="",0,INDEX(PARAMETROS!$C$25:$F$25,PARAMETROS!$C$9)/60*N(BASE!L22)*BASE!P22*(IF(INDEX(PARAMETROS!$C$27:$F$27,PARAMETROS!$C$9)="Real",BASE!N22,N(BASE!H22))*INDEX(PARAMETROS!$C$26:$F$26,PARAMETROS!$C$9)+BASE!O22))</f>
        <v/>
      </c>
      <c r="I22" s="14">
        <f>IF(F22="",0,INDEX(PARAMETROS!$C$25:$F$25,PARAMETROS!$C$9)/60*N(BASE!L22)*(IF(INDEX(PARAMETROS!$C$27:$F$27,PARAMETROS!$C$9)="Real",BASE!N22,N(BASE!H22))*INDEX(PARAMETROS!$C$26:$F$26,PARAMETROS!$C$9)+BASE!O22))</f>
        <v/>
      </c>
      <c r="J22" s="15">
        <f>MAX(IFERROR(INDEX(CAP_CELULA!$J$6:$J$65,(PARAMETROS!$C$9-1)*15+MATCH(E22,MAO_OBRA!$A$6:$A$20,0)),0),IFERROR(INDEX(USINAGEM!$I$6:$I$29,(PARAMETROS!$C$9-1)*6+MATCH(F22,PARAMETROS!$B$32:$B$37,0)),0))</f>
        <v/>
      </c>
      <c r="K22" s="12">
        <f>IF(AND(C22&lt;&gt;"",J22&gt;0,J22=SUMPRODUCT(MAX(($B$6:$B$205=B22)*($C$6:$C$205=C22)*$J$6:$J$205))),"◄ GARGALO","")</f>
        <v/>
      </c>
      <c r="L22" s="33">
        <f>H22+I22+ROW()/10000000</f>
        <v/>
      </c>
    </row>
    <row r="23">
      <c r="A23" s="11">
        <f>IF(BASE!A23="","",BASE!A23)</f>
        <v/>
      </c>
      <c r="B23" s="11">
        <f>IF(BASE!B23="","",BASE!B23)</f>
        <v/>
      </c>
      <c r="C23" s="11">
        <f>IF(BASE!C23="","",BASE!C23)</f>
        <v/>
      </c>
      <c r="D23" s="11">
        <f>IF(BASE!D23="","",BASE!D23)</f>
        <v/>
      </c>
      <c r="E23" s="11">
        <f>IF(BASE!E23="","",BASE!E23)</f>
        <v/>
      </c>
      <c r="F23" s="11">
        <f>IF(BASE!F23="","",BASE!F23)</f>
        <v/>
      </c>
      <c r="G23" s="28">
        <f>N(BASE!L23)*INDEX(PARAMETROS!$C$25:$F$25,PARAMETROS!$C$9)</f>
        <v/>
      </c>
      <c r="H23" s="14">
        <f>IF(E23="",0,INDEX(PARAMETROS!$C$25:$F$25,PARAMETROS!$C$9)/60*N(BASE!L23)*BASE!P23*(IF(INDEX(PARAMETROS!$C$27:$F$27,PARAMETROS!$C$9)="Real",BASE!N23,N(BASE!H23))*INDEX(PARAMETROS!$C$26:$F$26,PARAMETROS!$C$9)+BASE!O23))</f>
        <v/>
      </c>
      <c r="I23" s="14">
        <f>IF(F23="",0,INDEX(PARAMETROS!$C$25:$F$25,PARAMETROS!$C$9)/60*N(BASE!L23)*(IF(INDEX(PARAMETROS!$C$27:$F$27,PARAMETROS!$C$9)="Real",BASE!N23,N(BASE!H23))*INDEX(PARAMETROS!$C$26:$F$26,PARAMETROS!$C$9)+BASE!O23))</f>
        <v/>
      </c>
      <c r="J23" s="15">
        <f>MAX(IFERROR(INDEX(CAP_CELULA!$J$6:$J$65,(PARAMETROS!$C$9-1)*15+MATCH(E23,MAO_OBRA!$A$6:$A$20,0)),0),IFERROR(INDEX(USINAGEM!$I$6:$I$29,(PARAMETROS!$C$9-1)*6+MATCH(F23,PARAMETROS!$B$32:$B$37,0)),0))</f>
        <v/>
      </c>
      <c r="K23" s="12">
        <f>IF(AND(C23&lt;&gt;"",J23&gt;0,J23=SUMPRODUCT(MAX(($B$6:$B$205=B23)*($C$6:$C$205=C23)*$J$6:$J$205))),"◄ GARGALO","")</f>
        <v/>
      </c>
      <c r="L23" s="33">
        <f>H23+I23+ROW()/10000000</f>
        <v/>
      </c>
    </row>
    <row r="24">
      <c r="A24" s="11">
        <f>IF(BASE!A24="","",BASE!A24)</f>
        <v/>
      </c>
      <c r="B24" s="11">
        <f>IF(BASE!B24="","",BASE!B24)</f>
        <v/>
      </c>
      <c r="C24" s="11">
        <f>IF(BASE!C24="","",BASE!C24)</f>
        <v/>
      </c>
      <c r="D24" s="11">
        <f>IF(BASE!D24="","",BASE!D24)</f>
        <v/>
      </c>
      <c r="E24" s="11">
        <f>IF(BASE!E24="","",BASE!E24)</f>
        <v/>
      </c>
      <c r="F24" s="11">
        <f>IF(BASE!F24="","",BASE!F24)</f>
        <v/>
      </c>
      <c r="G24" s="28">
        <f>N(BASE!L24)*INDEX(PARAMETROS!$C$25:$F$25,PARAMETROS!$C$9)</f>
        <v/>
      </c>
      <c r="H24" s="14">
        <f>IF(E24="",0,INDEX(PARAMETROS!$C$25:$F$25,PARAMETROS!$C$9)/60*N(BASE!L24)*BASE!P24*(IF(INDEX(PARAMETROS!$C$27:$F$27,PARAMETROS!$C$9)="Real",BASE!N24,N(BASE!H24))*INDEX(PARAMETROS!$C$26:$F$26,PARAMETROS!$C$9)+BASE!O24))</f>
        <v/>
      </c>
      <c r="I24" s="14">
        <f>IF(F24="",0,INDEX(PARAMETROS!$C$25:$F$25,PARAMETROS!$C$9)/60*N(BASE!L24)*(IF(INDEX(PARAMETROS!$C$27:$F$27,PARAMETROS!$C$9)="Real",BASE!N24,N(BASE!H24))*INDEX(PARAMETROS!$C$26:$F$26,PARAMETROS!$C$9)+BASE!O24))</f>
        <v/>
      </c>
      <c r="J24" s="15">
        <f>MAX(IFERROR(INDEX(CAP_CELULA!$J$6:$J$65,(PARAMETROS!$C$9-1)*15+MATCH(E24,MAO_OBRA!$A$6:$A$20,0)),0),IFERROR(INDEX(USINAGEM!$I$6:$I$29,(PARAMETROS!$C$9-1)*6+MATCH(F24,PARAMETROS!$B$32:$B$37,0)),0))</f>
        <v/>
      </c>
      <c r="K24" s="12">
        <f>IF(AND(C24&lt;&gt;"",J24&gt;0,J24=SUMPRODUCT(MAX(($B$6:$B$205=B24)*($C$6:$C$205=C24)*$J$6:$J$205))),"◄ GARGALO","")</f>
        <v/>
      </c>
      <c r="L24" s="33">
        <f>H24+I24+ROW()/10000000</f>
        <v/>
      </c>
    </row>
    <row r="25">
      <c r="A25" s="11">
        <f>IF(BASE!A25="","",BASE!A25)</f>
        <v/>
      </c>
      <c r="B25" s="11">
        <f>IF(BASE!B25="","",BASE!B25)</f>
        <v/>
      </c>
      <c r="C25" s="11">
        <f>IF(BASE!C25="","",BASE!C25)</f>
        <v/>
      </c>
      <c r="D25" s="11">
        <f>IF(BASE!D25="","",BASE!D25)</f>
        <v/>
      </c>
      <c r="E25" s="11">
        <f>IF(BASE!E25="","",BASE!E25)</f>
        <v/>
      </c>
      <c r="F25" s="11">
        <f>IF(BASE!F25="","",BASE!F25)</f>
        <v/>
      </c>
      <c r="G25" s="28">
        <f>N(BASE!L25)*INDEX(PARAMETROS!$C$25:$F$25,PARAMETROS!$C$9)</f>
        <v/>
      </c>
      <c r="H25" s="14">
        <f>IF(E25="",0,INDEX(PARAMETROS!$C$25:$F$25,PARAMETROS!$C$9)/60*N(BASE!L25)*BASE!P25*(IF(INDEX(PARAMETROS!$C$27:$F$27,PARAMETROS!$C$9)="Real",BASE!N25,N(BASE!H25))*INDEX(PARAMETROS!$C$26:$F$26,PARAMETROS!$C$9)+BASE!O25))</f>
        <v/>
      </c>
      <c r="I25" s="14">
        <f>IF(F25="",0,INDEX(PARAMETROS!$C$25:$F$25,PARAMETROS!$C$9)/60*N(BASE!L25)*(IF(INDEX(PARAMETROS!$C$27:$F$27,PARAMETROS!$C$9)="Real",BASE!N25,N(BASE!H25))*INDEX(PARAMETROS!$C$26:$F$26,PARAMETROS!$C$9)+BASE!O25))</f>
        <v/>
      </c>
      <c r="J25" s="15">
        <f>MAX(IFERROR(INDEX(CAP_CELULA!$J$6:$J$65,(PARAMETROS!$C$9-1)*15+MATCH(E25,MAO_OBRA!$A$6:$A$20,0)),0),IFERROR(INDEX(USINAGEM!$I$6:$I$29,(PARAMETROS!$C$9-1)*6+MATCH(F25,PARAMETROS!$B$32:$B$37,0)),0))</f>
        <v/>
      </c>
      <c r="K25" s="12">
        <f>IF(AND(C25&lt;&gt;"",J25&gt;0,J25=SUMPRODUCT(MAX(($B$6:$B$205=B25)*($C$6:$C$205=C25)*$J$6:$J$205))),"◄ GARGALO","")</f>
        <v/>
      </c>
      <c r="L25" s="33">
        <f>H25+I25+ROW()/10000000</f>
        <v/>
      </c>
    </row>
    <row r="26">
      <c r="A26" s="11">
        <f>IF(BASE!A26="","",BASE!A26)</f>
        <v/>
      </c>
      <c r="B26" s="11">
        <f>IF(BASE!B26="","",BASE!B26)</f>
        <v/>
      </c>
      <c r="C26" s="11">
        <f>IF(BASE!C26="","",BASE!C26)</f>
        <v/>
      </c>
      <c r="D26" s="11">
        <f>IF(BASE!D26="","",BASE!D26)</f>
        <v/>
      </c>
      <c r="E26" s="11">
        <f>IF(BASE!E26="","",BASE!E26)</f>
        <v/>
      </c>
      <c r="F26" s="11">
        <f>IF(BASE!F26="","",BASE!F26)</f>
        <v/>
      </c>
      <c r="G26" s="28">
        <f>N(BASE!L26)*INDEX(PARAMETROS!$C$25:$F$25,PARAMETROS!$C$9)</f>
        <v/>
      </c>
      <c r="H26" s="14">
        <f>IF(E26="",0,INDEX(PARAMETROS!$C$25:$F$25,PARAMETROS!$C$9)/60*N(BASE!L26)*BASE!P26*(IF(INDEX(PARAMETROS!$C$27:$F$27,PARAMETROS!$C$9)="Real",BASE!N26,N(BASE!H26))*INDEX(PARAMETROS!$C$26:$F$26,PARAMETROS!$C$9)+BASE!O26))</f>
        <v/>
      </c>
      <c r="I26" s="14">
        <f>IF(F26="",0,INDEX(PARAMETROS!$C$25:$F$25,PARAMETROS!$C$9)/60*N(BASE!L26)*(IF(INDEX(PARAMETROS!$C$27:$F$27,PARAMETROS!$C$9)="Real",BASE!N26,N(BASE!H26))*INDEX(PARAMETROS!$C$26:$F$26,PARAMETROS!$C$9)+BASE!O26))</f>
        <v/>
      </c>
      <c r="J26" s="15">
        <f>MAX(IFERROR(INDEX(CAP_CELULA!$J$6:$J$65,(PARAMETROS!$C$9-1)*15+MATCH(E26,MAO_OBRA!$A$6:$A$20,0)),0),IFERROR(INDEX(USINAGEM!$I$6:$I$29,(PARAMETROS!$C$9-1)*6+MATCH(F26,PARAMETROS!$B$32:$B$37,0)),0))</f>
        <v/>
      </c>
      <c r="K26" s="12">
        <f>IF(AND(C26&lt;&gt;"",J26&gt;0,J26=SUMPRODUCT(MAX(($B$6:$B$205=B26)*($C$6:$C$205=C26)*$J$6:$J$205))),"◄ GARGALO","")</f>
        <v/>
      </c>
      <c r="L26" s="33">
        <f>H26+I26+ROW()/10000000</f>
        <v/>
      </c>
    </row>
    <row r="27">
      <c r="A27" s="11">
        <f>IF(BASE!A27="","",BASE!A27)</f>
        <v/>
      </c>
      <c r="B27" s="11">
        <f>IF(BASE!B27="","",BASE!B27)</f>
        <v/>
      </c>
      <c r="C27" s="11">
        <f>IF(BASE!C27="","",BASE!C27)</f>
        <v/>
      </c>
      <c r="D27" s="11">
        <f>IF(BASE!D27="","",BASE!D27)</f>
        <v/>
      </c>
      <c r="E27" s="11">
        <f>IF(BASE!E27="","",BASE!E27)</f>
        <v/>
      </c>
      <c r="F27" s="11">
        <f>IF(BASE!F27="","",BASE!F27)</f>
        <v/>
      </c>
      <c r="G27" s="28">
        <f>N(BASE!L27)*INDEX(PARAMETROS!$C$25:$F$25,PARAMETROS!$C$9)</f>
        <v/>
      </c>
      <c r="H27" s="14">
        <f>IF(E27="",0,INDEX(PARAMETROS!$C$25:$F$25,PARAMETROS!$C$9)/60*N(BASE!L27)*BASE!P27*(IF(INDEX(PARAMETROS!$C$27:$F$27,PARAMETROS!$C$9)="Real",BASE!N27,N(BASE!H27))*INDEX(PARAMETROS!$C$26:$F$26,PARAMETROS!$C$9)+BASE!O27))</f>
        <v/>
      </c>
      <c r="I27" s="14">
        <f>IF(F27="",0,INDEX(PARAMETROS!$C$25:$F$25,PARAMETROS!$C$9)/60*N(BASE!L27)*(IF(INDEX(PARAMETROS!$C$27:$F$27,PARAMETROS!$C$9)="Real",BASE!N27,N(BASE!H27))*INDEX(PARAMETROS!$C$26:$F$26,PARAMETROS!$C$9)+BASE!O27))</f>
        <v/>
      </c>
      <c r="J27" s="15">
        <f>MAX(IFERROR(INDEX(CAP_CELULA!$J$6:$J$65,(PARAMETROS!$C$9-1)*15+MATCH(E27,MAO_OBRA!$A$6:$A$20,0)),0),IFERROR(INDEX(USINAGEM!$I$6:$I$29,(PARAMETROS!$C$9-1)*6+MATCH(F27,PARAMETROS!$B$32:$B$37,0)),0))</f>
        <v/>
      </c>
      <c r="K27" s="12">
        <f>IF(AND(C27&lt;&gt;"",J27&gt;0,J27=SUMPRODUCT(MAX(($B$6:$B$205=B27)*($C$6:$C$205=C27)*$J$6:$J$205))),"◄ GARGALO","")</f>
        <v/>
      </c>
      <c r="L27" s="33">
        <f>H27+I27+ROW()/10000000</f>
        <v/>
      </c>
    </row>
    <row r="28">
      <c r="A28" s="11">
        <f>IF(BASE!A28="","",BASE!A28)</f>
        <v/>
      </c>
      <c r="B28" s="11">
        <f>IF(BASE!B28="","",BASE!B28)</f>
        <v/>
      </c>
      <c r="C28" s="11">
        <f>IF(BASE!C28="","",BASE!C28)</f>
        <v/>
      </c>
      <c r="D28" s="11">
        <f>IF(BASE!D28="","",BASE!D28)</f>
        <v/>
      </c>
      <c r="E28" s="11">
        <f>IF(BASE!E28="","",BASE!E28)</f>
        <v/>
      </c>
      <c r="F28" s="11">
        <f>IF(BASE!F28="","",BASE!F28)</f>
        <v/>
      </c>
      <c r="G28" s="28">
        <f>N(BASE!L28)*INDEX(PARAMETROS!$C$25:$F$25,PARAMETROS!$C$9)</f>
        <v/>
      </c>
      <c r="H28" s="14">
        <f>IF(E28="",0,INDEX(PARAMETROS!$C$25:$F$25,PARAMETROS!$C$9)/60*N(BASE!L28)*BASE!P28*(IF(INDEX(PARAMETROS!$C$27:$F$27,PARAMETROS!$C$9)="Real",BASE!N28,N(BASE!H28))*INDEX(PARAMETROS!$C$26:$F$26,PARAMETROS!$C$9)+BASE!O28))</f>
        <v/>
      </c>
      <c r="I28" s="14">
        <f>IF(F28="",0,INDEX(PARAMETROS!$C$25:$F$25,PARAMETROS!$C$9)/60*N(BASE!L28)*(IF(INDEX(PARAMETROS!$C$27:$F$27,PARAMETROS!$C$9)="Real",BASE!N28,N(BASE!H28))*INDEX(PARAMETROS!$C$26:$F$26,PARAMETROS!$C$9)+BASE!O28))</f>
        <v/>
      </c>
      <c r="J28" s="15">
        <f>MAX(IFERROR(INDEX(CAP_CELULA!$J$6:$J$65,(PARAMETROS!$C$9-1)*15+MATCH(E28,MAO_OBRA!$A$6:$A$20,0)),0),IFERROR(INDEX(USINAGEM!$I$6:$I$29,(PARAMETROS!$C$9-1)*6+MATCH(F28,PARAMETROS!$B$32:$B$37,0)),0))</f>
        <v/>
      </c>
      <c r="K28" s="12">
        <f>IF(AND(C28&lt;&gt;"",J28&gt;0,J28=SUMPRODUCT(MAX(($B$6:$B$205=B28)*($C$6:$C$205=C28)*$J$6:$J$205))),"◄ GARGALO","")</f>
        <v/>
      </c>
      <c r="L28" s="33">
        <f>H28+I28+ROW()/10000000</f>
        <v/>
      </c>
    </row>
    <row r="29">
      <c r="A29" s="11">
        <f>IF(BASE!A29="","",BASE!A29)</f>
        <v/>
      </c>
      <c r="B29" s="11">
        <f>IF(BASE!B29="","",BASE!B29)</f>
        <v/>
      </c>
      <c r="C29" s="11">
        <f>IF(BASE!C29="","",BASE!C29)</f>
        <v/>
      </c>
      <c r="D29" s="11">
        <f>IF(BASE!D29="","",BASE!D29)</f>
        <v/>
      </c>
      <c r="E29" s="11">
        <f>IF(BASE!E29="","",BASE!E29)</f>
        <v/>
      </c>
      <c r="F29" s="11">
        <f>IF(BASE!F29="","",BASE!F29)</f>
        <v/>
      </c>
      <c r="G29" s="28">
        <f>N(BASE!L29)*INDEX(PARAMETROS!$C$25:$F$25,PARAMETROS!$C$9)</f>
        <v/>
      </c>
      <c r="H29" s="14">
        <f>IF(E29="",0,INDEX(PARAMETROS!$C$25:$F$25,PARAMETROS!$C$9)/60*N(BASE!L29)*BASE!P29*(IF(INDEX(PARAMETROS!$C$27:$F$27,PARAMETROS!$C$9)="Real",BASE!N29,N(BASE!H29))*INDEX(PARAMETROS!$C$26:$F$26,PARAMETROS!$C$9)+BASE!O29))</f>
        <v/>
      </c>
      <c r="I29" s="14">
        <f>IF(F29="",0,INDEX(PARAMETROS!$C$25:$F$25,PARAMETROS!$C$9)/60*N(BASE!L29)*(IF(INDEX(PARAMETROS!$C$27:$F$27,PARAMETROS!$C$9)="Real",BASE!N29,N(BASE!H29))*INDEX(PARAMETROS!$C$26:$F$26,PARAMETROS!$C$9)+BASE!O29))</f>
        <v/>
      </c>
      <c r="J29" s="15">
        <f>MAX(IFERROR(INDEX(CAP_CELULA!$J$6:$J$65,(PARAMETROS!$C$9-1)*15+MATCH(E29,MAO_OBRA!$A$6:$A$20,0)),0),IFERROR(INDEX(USINAGEM!$I$6:$I$29,(PARAMETROS!$C$9-1)*6+MATCH(F29,PARAMETROS!$B$32:$B$37,0)),0))</f>
        <v/>
      </c>
      <c r="K29" s="12">
        <f>IF(AND(C29&lt;&gt;"",J29&gt;0,J29=SUMPRODUCT(MAX(($B$6:$B$205=B29)*($C$6:$C$205=C29)*$J$6:$J$205))),"◄ GARGALO","")</f>
        <v/>
      </c>
      <c r="L29" s="33">
        <f>H29+I29+ROW()/10000000</f>
        <v/>
      </c>
    </row>
    <row r="30">
      <c r="A30" s="11">
        <f>IF(BASE!A30="","",BASE!A30)</f>
        <v/>
      </c>
      <c r="B30" s="11">
        <f>IF(BASE!B30="","",BASE!B30)</f>
        <v/>
      </c>
      <c r="C30" s="11">
        <f>IF(BASE!C30="","",BASE!C30)</f>
        <v/>
      </c>
      <c r="D30" s="11">
        <f>IF(BASE!D30="","",BASE!D30)</f>
        <v/>
      </c>
      <c r="E30" s="11">
        <f>IF(BASE!E30="","",BASE!E30)</f>
        <v/>
      </c>
      <c r="F30" s="11">
        <f>IF(BASE!F30="","",BASE!F30)</f>
        <v/>
      </c>
      <c r="G30" s="28">
        <f>N(BASE!L30)*INDEX(PARAMETROS!$C$25:$F$25,PARAMETROS!$C$9)</f>
        <v/>
      </c>
      <c r="H30" s="14">
        <f>IF(E30="",0,INDEX(PARAMETROS!$C$25:$F$25,PARAMETROS!$C$9)/60*N(BASE!L30)*BASE!P30*(IF(INDEX(PARAMETROS!$C$27:$F$27,PARAMETROS!$C$9)="Real",BASE!N30,N(BASE!H30))*INDEX(PARAMETROS!$C$26:$F$26,PARAMETROS!$C$9)+BASE!O30))</f>
        <v/>
      </c>
      <c r="I30" s="14">
        <f>IF(F30="",0,INDEX(PARAMETROS!$C$25:$F$25,PARAMETROS!$C$9)/60*N(BASE!L30)*(IF(INDEX(PARAMETROS!$C$27:$F$27,PARAMETROS!$C$9)="Real",BASE!N30,N(BASE!H30))*INDEX(PARAMETROS!$C$26:$F$26,PARAMETROS!$C$9)+BASE!O30))</f>
        <v/>
      </c>
      <c r="J30" s="15">
        <f>MAX(IFERROR(INDEX(CAP_CELULA!$J$6:$J$65,(PARAMETROS!$C$9-1)*15+MATCH(E30,MAO_OBRA!$A$6:$A$20,0)),0),IFERROR(INDEX(USINAGEM!$I$6:$I$29,(PARAMETROS!$C$9-1)*6+MATCH(F30,PARAMETROS!$B$32:$B$37,0)),0))</f>
        <v/>
      </c>
      <c r="K30" s="12">
        <f>IF(AND(C30&lt;&gt;"",J30&gt;0,J30=SUMPRODUCT(MAX(($B$6:$B$205=B30)*($C$6:$C$205=C30)*$J$6:$J$205))),"◄ GARGALO","")</f>
        <v/>
      </c>
      <c r="L30" s="33">
        <f>H30+I30+ROW()/10000000</f>
        <v/>
      </c>
    </row>
    <row r="31">
      <c r="A31" s="11">
        <f>IF(BASE!A31="","",BASE!A31)</f>
        <v/>
      </c>
      <c r="B31" s="11">
        <f>IF(BASE!B31="","",BASE!B31)</f>
        <v/>
      </c>
      <c r="C31" s="11">
        <f>IF(BASE!C31="","",BASE!C31)</f>
        <v/>
      </c>
      <c r="D31" s="11">
        <f>IF(BASE!D31="","",BASE!D31)</f>
        <v/>
      </c>
      <c r="E31" s="11">
        <f>IF(BASE!E31="","",BASE!E31)</f>
        <v/>
      </c>
      <c r="F31" s="11">
        <f>IF(BASE!F31="","",BASE!F31)</f>
        <v/>
      </c>
      <c r="G31" s="28">
        <f>N(BASE!L31)*INDEX(PARAMETROS!$C$25:$F$25,PARAMETROS!$C$9)</f>
        <v/>
      </c>
      <c r="H31" s="14">
        <f>IF(E31="",0,INDEX(PARAMETROS!$C$25:$F$25,PARAMETROS!$C$9)/60*N(BASE!L31)*BASE!P31*(IF(INDEX(PARAMETROS!$C$27:$F$27,PARAMETROS!$C$9)="Real",BASE!N31,N(BASE!H31))*INDEX(PARAMETROS!$C$26:$F$26,PARAMETROS!$C$9)+BASE!O31))</f>
        <v/>
      </c>
      <c r="I31" s="14">
        <f>IF(F31="",0,INDEX(PARAMETROS!$C$25:$F$25,PARAMETROS!$C$9)/60*N(BASE!L31)*(IF(INDEX(PARAMETROS!$C$27:$F$27,PARAMETROS!$C$9)="Real",BASE!N31,N(BASE!H31))*INDEX(PARAMETROS!$C$26:$F$26,PARAMETROS!$C$9)+BASE!O31))</f>
        <v/>
      </c>
      <c r="J31" s="15">
        <f>MAX(IFERROR(INDEX(CAP_CELULA!$J$6:$J$65,(PARAMETROS!$C$9-1)*15+MATCH(E31,MAO_OBRA!$A$6:$A$20,0)),0),IFERROR(INDEX(USINAGEM!$I$6:$I$29,(PARAMETROS!$C$9-1)*6+MATCH(F31,PARAMETROS!$B$32:$B$37,0)),0))</f>
        <v/>
      </c>
      <c r="K31" s="12">
        <f>IF(AND(C31&lt;&gt;"",J31&gt;0,J31=SUMPRODUCT(MAX(($B$6:$B$205=B31)*($C$6:$C$205=C31)*$J$6:$J$205))),"◄ GARGALO","")</f>
        <v/>
      </c>
      <c r="L31" s="33">
        <f>H31+I31+ROW()/10000000</f>
        <v/>
      </c>
    </row>
    <row r="32">
      <c r="A32" s="11">
        <f>IF(BASE!A32="","",BASE!A32)</f>
        <v/>
      </c>
      <c r="B32" s="11">
        <f>IF(BASE!B32="","",BASE!B32)</f>
        <v/>
      </c>
      <c r="C32" s="11">
        <f>IF(BASE!C32="","",BASE!C32)</f>
        <v/>
      </c>
      <c r="D32" s="11">
        <f>IF(BASE!D32="","",BASE!D32)</f>
        <v/>
      </c>
      <c r="E32" s="11">
        <f>IF(BASE!E32="","",BASE!E32)</f>
        <v/>
      </c>
      <c r="F32" s="11">
        <f>IF(BASE!F32="","",BASE!F32)</f>
        <v/>
      </c>
      <c r="G32" s="28">
        <f>N(BASE!L32)*INDEX(PARAMETROS!$C$25:$F$25,PARAMETROS!$C$9)</f>
        <v/>
      </c>
      <c r="H32" s="14">
        <f>IF(E32="",0,INDEX(PARAMETROS!$C$25:$F$25,PARAMETROS!$C$9)/60*N(BASE!L32)*BASE!P32*(IF(INDEX(PARAMETROS!$C$27:$F$27,PARAMETROS!$C$9)="Real",BASE!N32,N(BASE!H32))*INDEX(PARAMETROS!$C$26:$F$26,PARAMETROS!$C$9)+BASE!O32))</f>
        <v/>
      </c>
      <c r="I32" s="14">
        <f>IF(F32="",0,INDEX(PARAMETROS!$C$25:$F$25,PARAMETROS!$C$9)/60*N(BASE!L32)*(IF(INDEX(PARAMETROS!$C$27:$F$27,PARAMETROS!$C$9)="Real",BASE!N32,N(BASE!H32))*INDEX(PARAMETROS!$C$26:$F$26,PARAMETROS!$C$9)+BASE!O32))</f>
        <v/>
      </c>
      <c r="J32" s="15">
        <f>MAX(IFERROR(INDEX(CAP_CELULA!$J$6:$J$65,(PARAMETROS!$C$9-1)*15+MATCH(E32,MAO_OBRA!$A$6:$A$20,0)),0),IFERROR(INDEX(USINAGEM!$I$6:$I$29,(PARAMETROS!$C$9-1)*6+MATCH(F32,PARAMETROS!$B$32:$B$37,0)),0))</f>
        <v/>
      </c>
      <c r="K32" s="12">
        <f>IF(AND(C32&lt;&gt;"",J32&gt;0,J32=SUMPRODUCT(MAX(($B$6:$B$205=B32)*($C$6:$C$205=C32)*$J$6:$J$205))),"◄ GARGALO","")</f>
        <v/>
      </c>
      <c r="L32" s="33">
        <f>H32+I32+ROW()/10000000</f>
        <v/>
      </c>
    </row>
    <row r="33">
      <c r="A33" s="11">
        <f>IF(BASE!A33="","",BASE!A33)</f>
        <v/>
      </c>
      <c r="B33" s="11">
        <f>IF(BASE!B33="","",BASE!B33)</f>
        <v/>
      </c>
      <c r="C33" s="11">
        <f>IF(BASE!C33="","",BASE!C33)</f>
        <v/>
      </c>
      <c r="D33" s="11">
        <f>IF(BASE!D33="","",BASE!D33)</f>
        <v/>
      </c>
      <c r="E33" s="11">
        <f>IF(BASE!E33="","",BASE!E33)</f>
        <v/>
      </c>
      <c r="F33" s="11">
        <f>IF(BASE!F33="","",BASE!F33)</f>
        <v/>
      </c>
      <c r="G33" s="28">
        <f>N(BASE!L33)*INDEX(PARAMETROS!$C$25:$F$25,PARAMETROS!$C$9)</f>
        <v/>
      </c>
      <c r="H33" s="14">
        <f>IF(E33="",0,INDEX(PARAMETROS!$C$25:$F$25,PARAMETROS!$C$9)/60*N(BASE!L33)*BASE!P33*(IF(INDEX(PARAMETROS!$C$27:$F$27,PARAMETROS!$C$9)="Real",BASE!N33,N(BASE!H33))*INDEX(PARAMETROS!$C$26:$F$26,PARAMETROS!$C$9)+BASE!O33))</f>
        <v/>
      </c>
      <c r="I33" s="14">
        <f>IF(F33="",0,INDEX(PARAMETROS!$C$25:$F$25,PARAMETROS!$C$9)/60*N(BASE!L33)*(IF(INDEX(PARAMETROS!$C$27:$F$27,PARAMETROS!$C$9)="Real",BASE!N33,N(BASE!H33))*INDEX(PARAMETROS!$C$26:$F$26,PARAMETROS!$C$9)+BASE!O33))</f>
        <v/>
      </c>
      <c r="J33" s="15">
        <f>MAX(IFERROR(INDEX(CAP_CELULA!$J$6:$J$65,(PARAMETROS!$C$9-1)*15+MATCH(E33,MAO_OBRA!$A$6:$A$20,0)),0),IFERROR(INDEX(USINAGEM!$I$6:$I$29,(PARAMETROS!$C$9-1)*6+MATCH(F33,PARAMETROS!$B$32:$B$37,0)),0))</f>
        <v/>
      </c>
      <c r="K33" s="12">
        <f>IF(AND(C33&lt;&gt;"",J33&gt;0,J33=SUMPRODUCT(MAX(($B$6:$B$205=B33)*($C$6:$C$205=C33)*$J$6:$J$205))),"◄ GARGALO","")</f>
        <v/>
      </c>
      <c r="L33" s="33">
        <f>H33+I33+ROW()/10000000</f>
        <v/>
      </c>
    </row>
    <row r="34">
      <c r="A34" s="11">
        <f>IF(BASE!A34="","",BASE!A34)</f>
        <v/>
      </c>
      <c r="B34" s="11">
        <f>IF(BASE!B34="","",BASE!B34)</f>
        <v/>
      </c>
      <c r="C34" s="11">
        <f>IF(BASE!C34="","",BASE!C34)</f>
        <v/>
      </c>
      <c r="D34" s="11">
        <f>IF(BASE!D34="","",BASE!D34)</f>
        <v/>
      </c>
      <c r="E34" s="11">
        <f>IF(BASE!E34="","",BASE!E34)</f>
        <v/>
      </c>
      <c r="F34" s="11">
        <f>IF(BASE!F34="","",BASE!F34)</f>
        <v/>
      </c>
      <c r="G34" s="28">
        <f>N(BASE!L34)*INDEX(PARAMETROS!$C$25:$F$25,PARAMETROS!$C$9)</f>
        <v/>
      </c>
      <c r="H34" s="14">
        <f>IF(E34="",0,INDEX(PARAMETROS!$C$25:$F$25,PARAMETROS!$C$9)/60*N(BASE!L34)*BASE!P34*(IF(INDEX(PARAMETROS!$C$27:$F$27,PARAMETROS!$C$9)="Real",BASE!N34,N(BASE!H34))*INDEX(PARAMETROS!$C$26:$F$26,PARAMETROS!$C$9)+BASE!O34))</f>
        <v/>
      </c>
      <c r="I34" s="14">
        <f>IF(F34="",0,INDEX(PARAMETROS!$C$25:$F$25,PARAMETROS!$C$9)/60*N(BASE!L34)*(IF(INDEX(PARAMETROS!$C$27:$F$27,PARAMETROS!$C$9)="Real",BASE!N34,N(BASE!H34))*INDEX(PARAMETROS!$C$26:$F$26,PARAMETROS!$C$9)+BASE!O34))</f>
        <v/>
      </c>
      <c r="J34" s="15">
        <f>MAX(IFERROR(INDEX(CAP_CELULA!$J$6:$J$65,(PARAMETROS!$C$9-1)*15+MATCH(E34,MAO_OBRA!$A$6:$A$20,0)),0),IFERROR(INDEX(USINAGEM!$I$6:$I$29,(PARAMETROS!$C$9-1)*6+MATCH(F34,PARAMETROS!$B$32:$B$37,0)),0))</f>
        <v/>
      </c>
      <c r="K34" s="12">
        <f>IF(AND(C34&lt;&gt;"",J34&gt;0,J34=SUMPRODUCT(MAX(($B$6:$B$205=B34)*($C$6:$C$205=C34)*$J$6:$J$205))),"◄ GARGALO","")</f>
        <v/>
      </c>
      <c r="L34" s="33">
        <f>H34+I34+ROW()/10000000</f>
        <v/>
      </c>
    </row>
    <row r="35">
      <c r="A35" s="11">
        <f>IF(BASE!A35="","",BASE!A35)</f>
        <v/>
      </c>
      <c r="B35" s="11">
        <f>IF(BASE!B35="","",BASE!B35)</f>
        <v/>
      </c>
      <c r="C35" s="11">
        <f>IF(BASE!C35="","",BASE!C35)</f>
        <v/>
      </c>
      <c r="D35" s="11">
        <f>IF(BASE!D35="","",BASE!D35)</f>
        <v/>
      </c>
      <c r="E35" s="11">
        <f>IF(BASE!E35="","",BASE!E35)</f>
        <v/>
      </c>
      <c r="F35" s="11">
        <f>IF(BASE!F35="","",BASE!F35)</f>
        <v/>
      </c>
      <c r="G35" s="28">
        <f>N(BASE!L35)*INDEX(PARAMETROS!$C$25:$F$25,PARAMETROS!$C$9)</f>
        <v/>
      </c>
      <c r="H35" s="14">
        <f>IF(E35="",0,INDEX(PARAMETROS!$C$25:$F$25,PARAMETROS!$C$9)/60*N(BASE!L35)*BASE!P35*(IF(INDEX(PARAMETROS!$C$27:$F$27,PARAMETROS!$C$9)="Real",BASE!N35,N(BASE!H35))*INDEX(PARAMETROS!$C$26:$F$26,PARAMETROS!$C$9)+BASE!O35))</f>
        <v/>
      </c>
      <c r="I35" s="14">
        <f>IF(F35="",0,INDEX(PARAMETROS!$C$25:$F$25,PARAMETROS!$C$9)/60*N(BASE!L35)*(IF(INDEX(PARAMETROS!$C$27:$F$27,PARAMETROS!$C$9)="Real",BASE!N35,N(BASE!H35))*INDEX(PARAMETROS!$C$26:$F$26,PARAMETROS!$C$9)+BASE!O35))</f>
        <v/>
      </c>
      <c r="J35" s="15">
        <f>MAX(IFERROR(INDEX(CAP_CELULA!$J$6:$J$65,(PARAMETROS!$C$9-1)*15+MATCH(E35,MAO_OBRA!$A$6:$A$20,0)),0),IFERROR(INDEX(USINAGEM!$I$6:$I$29,(PARAMETROS!$C$9-1)*6+MATCH(F35,PARAMETROS!$B$32:$B$37,0)),0))</f>
        <v/>
      </c>
      <c r="K35" s="12">
        <f>IF(AND(C35&lt;&gt;"",J35&gt;0,J35=SUMPRODUCT(MAX(($B$6:$B$205=B35)*($C$6:$C$205=C35)*$J$6:$J$205))),"◄ GARGALO","")</f>
        <v/>
      </c>
      <c r="L35" s="33">
        <f>H35+I35+ROW()/10000000</f>
        <v/>
      </c>
    </row>
    <row r="36">
      <c r="A36" s="11">
        <f>IF(BASE!A36="","",BASE!A36)</f>
        <v/>
      </c>
      <c r="B36" s="11">
        <f>IF(BASE!B36="","",BASE!B36)</f>
        <v/>
      </c>
      <c r="C36" s="11">
        <f>IF(BASE!C36="","",BASE!C36)</f>
        <v/>
      </c>
      <c r="D36" s="11">
        <f>IF(BASE!D36="","",BASE!D36)</f>
        <v/>
      </c>
      <c r="E36" s="11">
        <f>IF(BASE!E36="","",BASE!E36)</f>
        <v/>
      </c>
      <c r="F36" s="11">
        <f>IF(BASE!F36="","",BASE!F36)</f>
        <v/>
      </c>
      <c r="G36" s="28">
        <f>N(BASE!L36)*INDEX(PARAMETROS!$C$25:$F$25,PARAMETROS!$C$9)</f>
        <v/>
      </c>
      <c r="H36" s="14">
        <f>IF(E36="",0,INDEX(PARAMETROS!$C$25:$F$25,PARAMETROS!$C$9)/60*N(BASE!L36)*BASE!P36*(IF(INDEX(PARAMETROS!$C$27:$F$27,PARAMETROS!$C$9)="Real",BASE!N36,N(BASE!H36))*INDEX(PARAMETROS!$C$26:$F$26,PARAMETROS!$C$9)+BASE!O36))</f>
        <v/>
      </c>
      <c r="I36" s="14">
        <f>IF(F36="",0,INDEX(PARAMETROS!$C$25:$F$25,PARAMETROS!$C$9)/60*N(BASE!L36)*(IF(INDEX(PARAMETROS!$C$27:$F$27,PARAMETROS!$C$9)="Real",BASE!N36,N(BASE!H36))*INDEX(PARAMETROS!$C$26:$F$26,PARAMETROS!$C$9)+BASE!O36))</f>
        <v/>
      </c>
      <c r="J36" s="15">
        <f>MAX(IFERROR(INDEX(CAP_CELULA!$J$6:$J$65,(PARAMETROS!$C$9-1)*15+MATCH(E36,MAO_OBRA!$A$6:$A$20,0)),0),IFERROR(INDEX(USINAGEM!$I$6:$I$29,(PARAMETROS!$C$9-1)*6+MATCH(F36,PARAMETROS!$B$32:$B$37,0)),0))</f>
        <v/>
      </c>
      <c r="K36" s="12">
        <f>IF(AND(C36&lt;&gt;"",J36&gt;0,J36=SUMPRODUCT(MAX(($B$6:$B$205=B36)*($C$6:$C$205=C36)*$J$6:$J$205))),"◄ GARGALO","")</f>
        <v/>
      </c>
      <c r="L36" s="33">
        <f>H36+I36+ROW()/10000000</f>
        <v/>
      </c>
    </row>
    <row r="37">
      <c r="A37" s="11">
        <f>IF(BASE!A37="","",BASE!A37)</f>
        <v/>
      </c>
      <c r="B37" s="11">
        <f>IF(BASE!B37="","",BASE!B37)</f>
        <v/>
      </c>
      <c r="C37" s="11">
        <f>IF(BASE!C37="","",BASE!C37)</f>
        <v/>
      </c>
      <c r="D37" s="11">
        <f>IF(BASE!D37="","",BASE!D37)</f>
        <v/>
      </c>
      <c r="E37" s="11">
        <f>IF(BASE!E37="","",BASE!E37)</f>
        <v/>
      </c>
      <c r="F37" s="11">
        <f>IF(BASE!F37="","",BASE!F37)</f>
        <v/>
      </c>
      <c r="G37" s="28">
        <f>N(BASE!L37)*INDEX(PARAMETROS!$C$25:$F$25,PARAMETROS!$C$9)</f>
        <v/>
      </c>
      <c r="H37" s="14">
        <f>IF(E37="",0,INDEX(PARAMETROS!$C$25:$F$25,PARAMETROS!$C$9)/60*N(BASE!L37)*BASE!P37*(IF(INDEX(PARAMETROS!$C$27:$F$27,PARAMETROS!$C$9)="Real",BASE!N37,N(BASE!H37))*INDEX(PARAMETROS!$C$26:$F$26,PARAMETROS!$C$9)+BASE!O37))</f>
        <v/>
      </c>
      <c r="I37" s="14">
        <f>IF(F37="",0,INDEX(PARAMETROS!$C$25:$F$25,PARAMETROS!$C$9)/60*N(BASE!L37)*(IF(INDEX(PARAMETROS!$C$27:$F$27,PARAMETROS!$C$9)="Real",BASE!N37,N(BASE!H37))*INDEX(PARAMETROS!$C$26:$F$26,PARAMETROS!$C$9)+BASE!O37))</f>
        <v/>
      </c>
      <c r="J37" s="15">
        <f>MAX(IFERROR(INDEX(CAP_CELULA!$J$6:$J$65,(PARAMETROS!$C$9-1)*15+MATCH(E37,MAO_OBRA!$A$6:$A$20,0)),0),IFERROR(INDEX(USINAGEM!$I$6:$I$29,(PARAMETROS!$C$9-1)*6+MATCH(F37,PARAMETROS!$B$32:$B$37,0)),0))</f>
        <v/>
      </c>
      <c r="K37" s="12">
        <f>IF(AND(C37&lt;&gt;"",J37&gt;0,J37=SUMPRODUCT(MAX(($B$6:$B$205=B37)*($C$6:$C$205=C37)*$J$6:$J$205))),"◄ GARGALO","")</f>
        <v/>
      </c>
      <c r="L37" s="33">
        <f>H37+I37+ROW()/10000000</f>
        <v/>
      </c>
    </row>
    <row r="38">
      <c r="A38" s="11">
        <f>IF(BASE!A38="","",BASE!A38)</f>
        <v/>
      </c>
      <c r="B38" s="11">
        <f>IF(BASE!B38="","",BASE!B38)</f>
        <v/>
      </c>
      <c r="C38" s="11">
        <f>IF(BASE!C38="","",BASE!C38)</f>
        <v/>
      </c>
      <c r="D38" s="11">
        <f>IF(BASE!D38="","",BASE!D38)</f>
        <v/>
      </c>
      <c r="E38" s="11">
        <f>IF(BASE!E38="","",BASE!E38)</f>
        <v/>
      </c>
      <c r="F38" s="11">
        <f>IF(BASE!F38="","",BASE!F38)</f>
        <v/>
      </c>
      <c r="G38" s="28">
        <f>N(BASE!L38)*INDEX(PARAMETROS!$C$25:$F$25,PARAMETROS!$C$9)</f>
        <v/>
      </c>
      <c r="H38" s="14">
        <f>IF(E38="",0,INDEX(PARAMETROS!$C$25:$F$25,PARAMETROS!$C$9)/60*N(BASE!L38)*BASE!P38*(IF(INDEX(PARAMETROS!$C$27:$F$27,PARAMETROS!$C$9)="Real",BASE!N38,N(BASE!H38))*INDEX(PARAMETROS!$C$26:$F$26,PARAMETROS!$C$9)+BASE!O38))</f>
        <v/>
      </c>
      <c r="I38" s="14">
        <f>IF(F38="",0,INDEX(PARAMETROS!$C$25:$F$25,PARAMETROS!$C$9)/60*N(BASE!L38)*(IF(INDEX(PARAMETROS!$C$27:$F$27,PARAMETROS!$C$9)="Real",BASE!N38,N(BASE!H38))*INDEX(PARAMETROS!$C$26:$F$26,PARAMETROS!$C$9)+BASE!O38))</f>
        <v/>
      </c>
      <c r="J38" s="15">
        <f>MAX(IFERROR(INDEX(CAP_CELULA!$J$6:$J$65,(PARAMETROS!$C$9-1)*15+MATCH(E38,MAO_OBRA!$A$6:$A$20,0)),0),IFERROR(INDEX(USINAGEM!$I$6:$I$29,(PARAMETROS!$C$9-1)*6+MATCH(F38,PARAMETROS!$B$32:$B$37,0)),0))</f>
        <v/>
      </c>
      <c r="K38" s="12">
        <f>IF(AND(C38&lt;&gt;"",J38&gt;0,J38=SUMPRODUCT(MAX(($B$6:$B$205=B38)*($C$6:$C$205=C38)*$J$6:$J$205))),"◄ GARGALO","")</f>
        <v/>
      </c>
      <c r="L38" s="33">
        <f>H38+I38+ROW()/10000000</f>
        <v/>
      </c>
    </row>
    <row r="39">
      <c r="A39" s="11">
        <f>IF(BASE!A39="","",BASE!A39)</f>
        <v/>
      </c>
      <c r="B39" s="11">
        <f>IF(BASE!B39="","",BASE!B39)</f>
        <v/>
      </c>
      <c r="C39" s="11">
        <f>IF(BASE!C39="","",BASE!C39)</f>
        <v/>
      </c>
      <c r="D39" s="11">
        <f>IF(BASE!D39="","",BASE!D39)</f>
        <v/>
      </c>
      <c r="E39" s="11">
        <f>IF(BASE!E39="","",BASE!E39)</f>
        <v/>
      </c>
      <c r="F39" s="11">
        <f>IF(BASE!F39="","",BASE!F39)</f>
        <v/>
      </c>
      <c r="G39" s="28">
        <f>N(BASE!L39)*INDEX(PARAMETROS!$C$25:$F$25,PARAMETROS!$C$9)</f>
        <v/>
      </c>
      <c r="H39" s="14">
        <f>IF(E39="",0,INDEX(PARAMETROS!$C$25:$F$25,PARAMETROS!$C$9)/60*N(BASE!L39)*BASE!P39*(IF(INDEX(PARAMETROS!$C$27:$F$27,PARAMETROS!$C$9)="Real",BASE!N39,N(BASE!H39))*INDEX(PARAMETROS!$C$26:$F$26,PARAMETROS!$C$9)+BASE!O39))</f>
        <v/>
      </c>
      <c r="I39" s="14">
        <f>IF(F39="",0,INDEX(PARAMETROS!$C$25:$F$25,PARAMETROS!$C$9)/60*N(BASE!L39)*(IF(INDEX(PARAMETROS!$C$27:$F$27,PARAMETROS!$C$9)="Real",BASE!N39,N(BASE!H39))*INDEX(PARAMETROS!$C$26:$F$26,PARAMETROS!$C$9)+BASE!O39))</f>
        <v/>
      </c>
      <c r="J39" s="15">
        <f>MAX(IFERROR(INDEX(CAP_CELULA!$J$6:$J$65,(PARAMETROS!$C$9-1)*15+MATCH(E39,MAO_OBRA!$A$6:$A$20,0)),0),IFERROR(INDEX(USINAGEM!$I$6:$I$29,(PARAMETROS!$C$9-1)*6+MATCH(F39,PARAMETROS!$B$32:$B$37,0)),0))</f>
        <v/>
      </c>
      <c r="K39" s="12">
        <f>IF(AND(C39&lt;&gt;"",J39&gt;0,J39=SUMPRODUCT(MAX(($B$6:$B$205=B39)*($C$6:$C$205=C39)*$J$6:$J$205))),"◄ GARGALO","")</f>
        <v/>
      </c>
      <c r="L39" s="33">
        <f>H39+I39+ROW()/10000000</f>
        <v/>
      </c>
    </row>
    <row r="40">
      <c r="A40" s="11">
        <f>IF(BASE!A40="","",BASE!A40)</f>
        <v/>
      </c>
      <c r="B40" s="11">
        <f>IF(BASE!B40="","",BASE!B40)</f>
        <v/>
      </c>
      <c r="C40" s="11">
        <f>IF(BASE!C40="","",BASE!C40)</f>
        <v/>
      </c>
      <c r="D40" s="11">
        <f>IF(BASE!D40="","",BASE!D40)</f>
        <v/>
      </c>
      <c r="E40" s="11">
        <f>IF(BASE!E40="","",BASE!E40)</f>
        <v/>
      </c>
      <c r="F40" s="11">
        <f>IF(BASE!F40="","",BASE!F40)</f>
        <v/>
      </c>
      <c r="G40" s="28">
        <f>N(BASE!L40)*INDEX(PARAMETROS!$C$25:$F$25,PARAMETROS!$C$9)</f>
        <v/>
      </c>
      <c r="H40" s="14">
        <f>IF(E40="",0,INDEX(PARAMETROS!$C$25:$F$25,PARAMETROS!$C$9)/60*N(BASE!L40)*BASE!P40*(IF(INDEX(PARAMETROS!$C$27:$F$27,PARAMETROS!$C$9)="Real",BASE!N40,N(BASE!H40))*INDEX(PARAMETROS!$C$26:$F$26,PARAMETROS!$C$9)+BASE!O40))</f>
        <v/>
      </c>
      <c r="I40" s="14">
        <f>IF(F40="",0,INDEX(PARAMETROS!$C$25:$F$25,PARAMETROS!$C$9)/60*N(BASE!L40)*(IF(INDEX(PARAMETROS!$C$27:$F$27,PARAMETROS!$C$9)="Real",BASE!N40,N(BASE!H40))*INDEX(PARAMETROS!$C$26:$F$26,PARAMETROS!$C$9)+BASE!O40))</f>
        <v/>
      </c>
      <c r="J40" s="15">
        <f>MAX(IFERROR(INDEX(CAP_CELULA!$J$6:$J$65,(PARAMETROS!$C$9-1)*15+MATCH(E40,MAO_OBRA!$A$6:$A$20,0)),0),IFERROR(INDEX(USINAGEM!$I$6:$I$29,(PARAMETROS!$C$9-1)*6+MATCH(F40,PARAMETROS!$B$32:$B$37,0)),0))</f>
        <v/>
      </c>
      <c r="K40" s="12">
        <f>IF(AND(C40&lt;&gt;"",J40&gt;0,J40=SUMPRODUCT(MAX(($B$6:$B$205=B40)*($C$6:$C$205=C40)*$J$6:$J$205))),"◄ GARGALO","")</f>
        <v/>
      </c>
      <c r="L40" s="33">
        <f>H40+I40+ROW()/10000000</f>
        <v/>
      </c>
    </row>
    <row r="41">
      <c r="A41" s="11">
        <f>IF(BASE!A41="","",BASE!A41)</f>
        <v/>
      </c>
      <c r="B41" s="11">
        <f>IF(BASE!B41="","",BASE!B41)</f>
        <v/>
      </c>
      <c r="C41" s="11">
        <f>IF(BASE!C41="","",BASE!C41)</f>
        <v/>
      </c>
      <c r="D41" s="11">
        <f>IF(BASE!D41="","",BASE!D41)</f>
        <v/>
      </c>
      <c r="E41" s="11">
        <f>IF(BASE!E41="","",BASE!E41)</f>
        <v/>
      </c>
      <c r="F41" s="11">
        <f>IF(BASE!F41="","",BASE!F41)</f>
        <v/>
      </c>
      <c r="G41" s="28">
        <f>N(BASE!L41)*INDEX(PARAMETROS!$C$25:$F$25,PARAMETROS!$C$9)</f>
        <v/>
      </c>
      <c r="H41" s="14">
        <f>IF(E41="",0,INDEX(PARAMETROS!$C$25:$F$25,PARAMETROS!$C$9)/60*N(BASE!L41)*BASE!P41*(IF(INDEX(PARAMETROS!$C$27:$F$27,PARAMETROS!$C$9)="Real",BASE!N41,N(BASE!H41))*INDEX(PARAMETROS!$C$26:$F$26,PARAMETROS!$C$9)+BASE!O41))</f>
        <v/>
      </c>
      <c r="I41" s="14">
        <f>IF(F41="",0,INDEX(PARAMETROS!$C$25:$F$25,PARAMETROS!$C$9)/60*N(BASE!L41)*(IF(INDEX(PARAMETROS!$C$27:$F$27,PARAMETROS!$C$9)="Real",BASE!N41,N(BASE!H41))*INDEX(PARAMETROS!$C$26:$F$26,PARAMETROS!$C$9)+BASE!O41))</f>
        <v/>
      </c>
      <c r="J41" s="15">
        <f>MAX(IFERROR(INDEX(CAP_CELULA!$J$6:$J$65,(PARAMETROS!$C$9-1)*15+MATCH(E41,MAO_OBRA!$A$6:$A$20,0)),0),IFERROR(INDEX(USINAGEM!$I$6:$I$29,(PARAMETROS!$C$9-1)*6+MATCH(F41,PARAMETROS!$B$32:$B$37,0)),0))</f>
        <v/>
      </c>
      <c r="K41" s="12">
        <f>IF(AND(C41&lt;&gt;"",J41&gt;0,J41=SUMPRODUCT(MAX(($B$6:$B$205=B41)*($C$6:$C$205=C41)*$J$6:$J$205))),"◄ GARGALO","")</f>
        <v/>
      </c>
      <c r="L41" s="33">
        <f>H41+I41+ROW()/10000000</f>
        <v/>
      </c>
    </row>
    <row r="42">
      <c r="A42" s="11">
        <f>IF(BASE!A42="","",BASE!A42)</f>
        <v/>
      </c>
      <c r="B42" s="11">
        <f>IF(BASE!B42="","",BASE!B42)</f>
        <v/>
      </c>
      <c r="C42" s="11">
        <f>IF(BASE!C42="","",BASE!C42)</f>
        <v/>
      </c>
      <c r="D42" s="11">
        <f>IF(BASE!D42="","",BASE!D42)</f>
        <v/>
      </c>
      <c r="E42" s="11">
        <f>IF(BASE!E42="","",BASE!E42)</f>
        <v/>
      </c>
      <c r="F42" s="11">
        <f>IF(BASE!F42="","",BASE!F42)</f>
        <v/>
      </c>
      <c r="G42" s="28">
        <f>N(BASE!L42)*INDEX(PARAMETROS!$C$25:$F$25,PARAMETROS!$C$9)</f>
        <v/>
      </c>
      <c r="H42" s="14">
        <f>IF(E42="",0,INDEX(PARAMETROS!$C$25:$F$25,PARAMETROS!$C$9)/60*N(BASE!L42)*BASE!P42*(IF(INDEX(PARAMETROS!$C$27:$F$27,PARAMETROS!$C$9)="Real",BASE!N42,N(BASE!H42))*INDEX(PARAMETROS!$C$26:$F$26,PARAMETROS!$C$9)+BASE!O42))</f>
        <v/>
      </c>
      <c r="I42" s="14">
        <f>IF(F42="",0,INDEX(PARAMETROS!$C$25:$F$25,PARAMETROS!$C$9)/60*N(BASE!L42)*(IF(INDEX(PARAMETROS!$C$27:$F$27,PARAMETROS!$C$9)="Real",BASE!N42,N(BASE!H42))*INDEX(PARAMETROS!$C$26:$F$26,PARAMETROS!$C$9)+BASE!O42))</f>
        <v/>
      </c>
      <c r="J42" s="15">
        <f>MAX(IFERROR(INDEX(CAP_CELULA!$J$6:$J$65,(PARAMETROS!$C$9-1)*15+MATCH(E42,MAO_OBRA!$A$6:$A$20,0)),0),IFERROR(INDEX(USINAGEM!$I$6:$I$29,(PARAMETROS!$C$9-1)*6+MATCH(F42,PARAMETROS!$B$32:$B$37,0)),0))</f>
        <v/>
      </c>
      <c r="K42" s="12">
        <f>IF(AND(C42&lt;&gt;"",J42&gt;0,J42=SUMPRODUCT(MAX(($B$6:$B$205=B42)*($C$6:$C$205=C42)*$J$6:$J$205))),"◄ GARGALO","")</f>
        <v/>
      </c>
      <c r="L42" s="33">
        <f>H42+I42+ROW()/10000000</f>
        <v/>
      </c>
    </row>
    <row r="43">
      <c r="A43" s="11">
        <f>IF(BASE!A43="","",BASE!A43)</f>
        <v/>
      </c>
      <c r="B43" s="11">
        <f>IF(BASE!B43="","",BASE!B43)</f>
        <v/>
      </c>
      <c r="C43" s="11">
        <f>IF(BASE!C43="","",BASE!C43)</f>
        <v/>
      </c>
      <c r="D43" s="11">
        <f>IF(BASE!D43="","",BASE!D43)</f>
        <v/>
      </c>
      <c r="E43" s="11">
        <f>IF(BASE!E43="","",BASE!E43)</f>
        <v/>
      </c>
      <c r="F43" s="11">
        <f>IF(BASE!F43="","",BASE!F43)</f>
        <v/>
      </c>
      <c r="G43" s="28">
        <f>N(BASE!L43)*INDEX(PARAMETROS!$C$25:$F$25,PARAMETROS!$C$9)</f>
        <v/>
      </c>
      <c r="H43" s="14">
        <f>IF(E43="",0,INDEX(PARAMETROS!$C$25:$F$25,PARAMETROS!$C$9)/60*N(BASE!L43)*BASE!P43*(IF(INDEX(PARAMETROS!$C$27:$F$27,PARAMETROS!$C$9)="Real",BASE!N43,N(BASE!H43))*INDEX(PARAMETROS!$C$26:$F$26,PARAMETROS!$C$9)+BASE!O43))</f>
        <v/>
      </c>
      <c r="I43" s="14">
        <f>IF(F43="",0,INDEX(PARAMETROS!$C$25:$F$25,PARAMETROS!$C$9)/60*N(BASE!L43)*(IF(INDEX(PARAMETROS!$C$27:$F$27,PARAMETROS!$C$9)="Real",BASE!N43,N(BASE!H43))*INDEX(PARAMETROS!$C$26:$F$26,PARAMETROS!$C$9)+BASE!O43))</f>
        <v/>
      </c>
      <c r="J43" s="15">
        <f>MAX(IFERROR(INDEX(CAP_CELULA!$J$6:$J$65,(PARAMETROS!$C$9-1)*15+MATCH(E43,MAO_OBRA!$A$6:$A$20,0)),0),IFERROR(INDEX(USINAGEM!$I$6:$I$29,(PARAMETROS!$C$9-1)*6+MATCH(F43,PARAMETROS!$B$32:$B$37,0)),0))</f>
        <v/>
      </c>
      <c r="K43" s="12">
        <f>IF(AND(C43&lt;&gt;"",J43&gt;0,J43=SUMPRODUCT(MAX(($B$6:$B$205=B43)*($C$6:$C$205=C43)*$J$6:$J$205))),"◄ GARGALO","")</f>
        <v/>
      </c>
      <c r="L43" s="33">
        <f>H43+I43+ROW()/10000000</f>
        <v/>
      </c>
    </row>
    <row r="44">
      <c r="A44" s="11">
        <f>IF(BASE!A44="","",BASE!A44)</f>
        <v/>
      </c>
      <c r="B44" s="11">
        <f>IF(BASE!B44="","",BASE!B44)</f>
        <v/>
      </c>
      <c r="C44" s="11">
        <f>IF(BASE!C44="","",BASE!C44)</f>
        <v/>
      </c>
      <c r="D44" s="11">
        <f>IF(BASE!D44="","",BASE!D44)</f>
        <v/>
      </c>
      <c r="E44" s="11">
        <f>IF(BASE!E44="","",BASE!E44)</f>
        <v/>
      </c>
      <c r="F44" s="11">
        <f>IF(BASE!F44="","",BASE!F44)</f>
        <v/>
      </c>
      <c r="G44" s="28">
        <f>N(BASE!L44)*INDEX(PARAMETROS!$C$25:$F$25,PARAMETROS!$C$9)</f>
        <v/>
      </c>
      <c r="H44" s="14">
        <f>IF(E44="",0,INDEX(PARAMETROS!$C$25:$F$25,PARAMETROS!$C$9)/60*N(BASE!L44)*BASE!P44*(IF(INDEX(PARAMETROS!$C$27:$F$27,PARAMETROS!$C$9)="Real",BASE!N44,N(BASE!H44))*INDEX(PARAMETROS!$C$26:$F$26,PARAMETROS!$C$9)+BASE!O44))</f>
        <v/>
      </c>
      <c r="I44" s="14">
        <f>IF(F44="",0,INDEX(PARAMETROS!$C$25:$F$25,PARAMETROS!$C$9)/60*N(BASE!L44)*(IF(INDEX(PARAMETROS!$C$27:$F$27,PARAMETROS!$C$9)="Real",BASE!N44,N(BASE!H44))*INDEX(PARAMETROS!$C$26:$F$26,PARAMETROS!$C$9)+BASE!O44))</f>
        <v/>
      </c>
      <c r="J44" s="15">
        <f>MAX(IFERROR(INDEX(CAP_CELULA!$J$6:$J$65,(PARAMETROS!$C$9-1)*15+MATCH(E44,MAO_OBRA!$A$6:$A$20,0)),0),IFERROR(INDEX(USINAGEM!$I$6:$I$29,(PARAMETROS!$C$9-1)*6+MATCH(F44,PARAMETROS!$B$32:$B$37,0)),0))</f>
        <v/>
      </c>
      <c r="K44" s="12">
        <f>IF(AND(C44&lt;&gt;"",J44&gt;0,J44=SUMPRODUCT(MAX(($B$6:$B$205=B44)*($C$6:$C$205=C44)*$J$6:$J$205))),"◄ GARGALO","")</f>
        <v/>
      </c>
      <c r="L44" s="33">
        <f>H44+I44+ROW()/10000000</f>
        <v/>
      </c>
    </row>
    <row r="45">
      <c r="A45" s="11">
        <f>IF(BASE!A45="","",BASE!A45)</f>
        <v/>
      </c>
      <c r="B45" s="11">
        <f>IF(BASE!B45="","",BASE!B45)</f>
        <v/>
      </c>
      <c r="C45" s="11">
        <f>IF(BASE!C45="","",BASE!C45)</f>
        <v/>
      </c>
      <c r="D45" s="11">
        <f>IF(BASE!D45="","",BASE!D45)</f>
        <v/>
      </c>
      <c r="E45" s="11">
        <f>IF(BASE!E45="","",BASE!E45)</f>
        <v/>
      </c>
      <c r="F45" s="11">
        <f>IF(BASE!F45="","",BASE!F45)</f>
        <v/>
      </c>
      <c r="G45" s="28">
        <f>N(BASE!L45)*INDEX(PARAMETROS!$C$25:$F$25,PARAMETROS!$C$9)</f>
        <v/>
      </c>
      <c r="H45" s="14">
        <f>IF(E45="",0,INDEX(PARAMETROS!$C$25:$F$25,PARAMETROS!$C$9)/60*N(BASE!L45)*BASE!P45*(IF(INDEX(PARAMETROS!$C$27:$F$27,PARAMETROS!$C$9)="Real",BASE!N45,N(BASE!H45))*INDEX(PARAMETROS!$C$26:$F$26,PARAMETROS!$C$9)+BASE!O45))</f>
        <v/>
      </c>
      <c r="I45" s="14">
        <f>IF(F45="",0,INDEX(PARAMETROS!$C$25:$F$25,PARAMETROS!$C$9)/60*N(BASE!L45)*(IF(INDEX(PARAMETROS!$C$27:$F$27,PARAMETROS!$C$9)="Real",BASE!N45,N(BASE!H45))*INDEX(PARAMETROS!$C$26:$F$26,PARAMETROS!$C$9)+BASE!O45))</f>
        <v/>
      </c>
      <c r="J45" s="15">
        <f>MAX(IFERROR(INDEX(CAP_CELULA!$J$6:$J$65,(PARAMETROS!$C$9-1)*15+MATCH(E45,MAO_OBRA!$A$6:$A$20,0)),0),IFERROR(INDEX(USINAGEM!$I$6:$I$29,(PARAMETROS!$C$9-1)*6+MATCH(F45,PARAMETROS!$B$32:$B$37,0)),0))</f>
        <v/>
      </c>
      <c r="K45" s="12">
        <f>IF(AND(C45&lt;&gt;"",J45&gt;0,J45=SUMPRODUCT(MAX(($B$6:$B$205=B45)*($C$6:$C$205=C45)*$J$6:$J$205))),"◄ GARGALO","")</f>
        <v/>
      </c>
      <c r="L45" s="33">
        <f>H45+I45+ROW()/10000000</f>
        <v/>
      </c>
    </row>
    <row r="46">
      <c r="A46" s="11">
        <f>IF(BASE!A46="","",BASE!A46)</f>
        <v/>
      </c>
      <c r="B46" s="11">
        <f>IF(BASE!B46="","",BASE!B46)</f>
        <v/>
      </c>
      <c r="C46" s="11">
        <f>IF(BASE!C46="","",BASE!C46)</f>
        <v/>
      </c>
      <c r="D46" s="11">
        <f>IF(BASE!D46="","",BASE!D46)</f>
        <v/>
      </c>
      <c r="E46" s="11">
        <f>IF(BASE!E46="","",BASE!E46)</f>
        <v/>
      </c>
      <c r="F46" s="11">
        <f>IF(BASE!F46="","",BASE!F46)</f>
        <v/>
      </c>
      <c r="G46" s="28">
        <f>N(BASE!L46)*INDEX(PARAMETROS!$C$25:$F$25,PARAMETROS!$C$9)</f>
        <v/>
      </c>
      <c r="H46" s="14">
        <f>IF(E46="",0,INDEX(PARAMETROS!$C$25:$F$25,PARAMETROS!$C$9)/60*N(BASE!L46)*BASE!P46*(IF(INDEX(PARAMETROS!$C$27:$F$27,PARAMETROS!$C$9)="Real",BASE!N46,N(BASE!H46))*INDEX(PARAMETROS!$C$26:$F$26,PARAMETROS!$C$9)+BASE!O46))</f>
        <v/>
      </c>
      <c r="I46" s="14">
        <f>IF(F46="",0,INDEX(PARAMETROS!$C$25:$F$25,PARAMETROS!$C$9)/60*N(BASE!L46)*(IF(INDEX(PARAMETROS!$C$27:$F$27,PARAMETROS!$C$9)="Real",BASE!N46,N(BASE!H46))*INDEX(PARAMETROS!$C$26:$F$26,PARAMETROS!$C$9)+BASE!O46))</f>
        <v/>
      </c>
      <c r="J46" s="15">
        <f>MAX(IFERROR(INDEX(CAP_CELULA!$J$6:$J$65,(PARAMETROS!$C$9-1)*15+MATCH(E46,MAO_OBRA!$A$6:$A$20,0)),0),IFERROR(INDEX(USINAGEM!$I$6:$I$29,(PARAMETROS!$C$9-1)*6+MATCH(F46,PARAMETROS!$B$32:$B$37,0)),0))</f>
        <v/>
      </c>
      <c r="K46" s="12">
        <f>IF(AND(C46&lt;&gt;"",J46&gt;0,J46=SUMPRODUCT(MAX(($B$6:$B$205=B46)*($C$6:$C$205=C46)*$J$6:$J$205))),"◄ GARGALO","")</f>
        <v/>
      </c>
      <c r="L46" s="33">
        <f>H46+I46+ROW()/10000000</f>
        <v/>
      </c>
    </row>
    <row r="47">
      <c r="A47" s="11">
        <f>IF(BASE!A47="","",BASE!A47)</f>
        <v/>
      </c>
      <c r="B47" s="11">
        <f>IF(BASE!B47="","",BASE!B47)</f>
        <v/>
      </c>
      <c r="C47" s="11">
        <f>IF(BASE!C47="","",BASE!C47)</f>
        <v/>
      </c>
      <c r="D47" s="11">
        <f>IF(BASE!D47="","",BASE!D47)</f>
        <v/>
      </c>
      <c r="E47" s="11">
        <f>IF(BASE!E47="","",BASE!E47)</f>
        <v/>
      </c>
      <c r="F47" s="11">
        <f>IF(BASE!F47="","",BASE!F47)</f>
        <v/>
      </c>
      <c r="G47" s="28">
        <f>N(BASE!L47)*INDEX(PARAMETROS!$C$25:$F$25,PARAMETROS!$C$9)</f>
        <v/>
      </c>
      <c r="H47" s="14">
        <f>IF(E47="",0,INDEX(PARAMETROS!$C$25:$F$25,PARAMETROS!$C$9)/60*N(BASE!L47)*BASE!P47*(IF(INDEX(PARAMETROS!$C$27:$F$27,PARAMETROS!$C$9)="Real",BASE!N47,N(BASE!H47))*INDEX(PARAMETROS!$C$26:$F$26,PARAMETROS!$C$9)+BASE!O47))</f>
        <v/>
      </c>
      <c r="I47" s="14">
        <f>IF(F47="",0,INDEX(PARAMETROS!$C$25:$F$25,PARAMETROS!$C$9)/60*N(BASE!L47)*(IF(INDEX(PARAMETROS!$C$27:$F$27,PARAMETROS!$C$9)="Real",BASE!N47,N(BASE!H47))*INDEX(PARAMETROS!$C$26:$F$26,PARAMETROS!$C$9)+BASE!O47))</f>
        <v/>
      </c>
      <c r="J47" s="15">
        <f>MAX(IFERROR(INDEX(CAP_CELULA!$J$6:$J$65,(PARAMETROS!$C$9-1)*15+MATCH(E47,MAO_OBRA!$A$6:$A$20,0)),0),IFERROR(INDEX(USINAGEM!$I$6:$I$29,(PARAMETROS!$C$9-1)*6+MATCH(F47,PARAMETROS!$B$32:$B$37,0)),0))</f>
        <v/>
      </c>
      <c r="K47" s="12">
        <f>IF(AND(C47&lt;&gt;"",J47&gt;0,J47=SUMPRODUCT(MAX(($B$6:$B$205=B47)*($C$6:$C$205=C47)*$J$6:$J$205))),"◄ GARGALO","")</f>
        <v/>
      </c>
      <c r="L47" s="33">
        <f>H47+I47+ROW()/10000000</f>
        <v/>
      </c>
    </row>
    <row r="48">
      <c r="A48" s="11">
        <f>IF(BASE!A48="","",BASE!A48)</f>
        <v/>
      </c>
      <c r="B48" s="11">
        <f>IF(BASE!B48="","",BASE!B48)</f>
        <v/>
      </c>
      <c r="C48" s="11">
        <f>IF(BASE!C48="","",BASE!C48)</f>
        <v/>
      </c>
      <c r="D48" s="11">
        <f>IF(BASE!D48="","",BASE!D48)</f>
        <v/>
      </c>
      <c r="E48" s="11">
        <f>IF(BASE!E48="","",BASE!E48)</f>
        <v/>
      </c>
      <c r="F48" s="11">
        <f>IF(BASE!F48="","",BASE!F48)</f>
        <v/>
      </c>
      <c r="G48" s="28">
        <f>N(BASE!L48)*INDEX(PARAMETROS!$C$25:$F$25,PARAMETROS!$C$9)</f>
        <v/>
      </c>
      <c r="H48" s="14">
        <f>IF(E48="",0,INDEX(PARAMETROS!$C$25:$F$25,PARAMETROS!$C$9)/60*N(BASE!L48)*BASE!P48*(IF(INDEX(PARAMETROS!$C$27:$F$27,PARAMETROS!$C$9)="Real",BASE!N48,N(BASE!H48))*INDEX(PARAMETROS!$C$26:$F$26,PARAMETROS!$C$9)+BASE!O48))</f>
        <v/>
      </c>
      <c r="I48" s="14">
        <f>IF(F48="",0,INDEX(PARAMETROS!$C$25:$F$25,PARAMETROS!$C$9)/60*N(BASE!L48)*(IF(INDEX(PARAMETROS!$C$27:$F$27,PARAMETROS!$C$9)="Real",BASE!N48,N(BASE!H48))*INDEX(PARAMETROS!$C$26:$F$26,PARAMETROS!$C$9)+BASE!O48))</f>
        <v/>
      </c>
      <c r="J48" s="15">
        <f>MAX(IFERROR(INDEX(CAP_CELULA!$J$6:$J$65,(PARAMETROS!$C$9-1)*15+MATCH(E48,MAO_OBRA!$A$6:$A$20,0)),0),IFERROR(INDEX(USINAGEM!$I$6:$I$29,(PARAMETROS!$C$9-1)*6+MATCH(F48,PARAMETROS!$B$32:$B$37,0)),0))</f>
        <v/>
      </c>
      <c r="K48" s="12">
        <f>IF(AND(C48&lt;&gt;"",J48&gt;0,J48=SUMPRODUCT(MAX(($B$6:$B$205=B48)*($C$6:$C$205=C48)*$J$6:$J$205))),"◄ GARGALO","")</f>
        <v/>
      </c>
      <c r="L48" s="33">
        <f>H48+I48+ROW()/10000000</f>
        <v/>
      </c>
    </row>
    <row r="49">
      <c r="A49" s="11">
        <f>IF(BASE!A49="","",BASE!A49)</f>
        <v/>
      </c>
      <c r="B49" s="11">
        <f>IF(BASE!B49="","",BASE!B49)</f>
        <v/>
      </c>
      <c r="C49" s="11">
        <f>IF(BASE!C49="","",BASE!C49)</f>
        <v/>
      </c>
      <c r="D49" s="11">
        <f>IF(BASE!D49="","",BASE!D49)</f>
        <v/>
      </c>
      <c r="E49" s="11">
        <f>IF(BASE!E49="","",BASE!E49)</f>
        <v/>
      </c>
      <c r="F49" s="11">
        <f>IF(BASE!F49="","",BASE!F49)</f>
        <v/>
      </c>
      <c r="G49" s="28">
        <f>N(BASE!L49)*INDEX(PARAMETROS!$C$25:$F$25,PARAMETROS!$C$9)</f>
        <v/>
      </c>
      <c r="H49" s="14">
        <f>IF(E49="",0,INDEX(PARAMETROS!$C$25:$F$25,PARAMETROS!$C$9)/60*N(BASE!L49)*BASE!P49*(IF(INDEX(PARAMETROS!$C$27:$F$27,PARAMETROS!$C$9)="Real",BASE!N49,N(BASE!H49))*INDEX(PARAMETROS!$C$26:$F$26,PARAMETROS!$C$9)+BASE!O49))</f>
        <v/>
      </c>
      <c r="I49" s="14">
        <f>IF(F49="",0,INDEX(PARAMETROS!$C$25:$F$25,PARAMETROS!$C$9)/60*N(BASE!L49)*(IF(INDEX(PARAMETROS!$C$27:$F$27,PARAMETROS!$C$9)="Real",BASE!N49,N(BASE!H49))*INDEX(PARAMETROS!$C$26:$F$26,PARAMETROS!$C$9)+BASE!O49))</f>
        <v/>
      </c>
      <c r="J49" s="15">
        <f>MAX(IFERROR(INDEX(CAP_CELULA!$J$6:$J$65,(PARAMETROS!$C$9-1)*15+MATCH(E49,MAO_OBRA!$A$6:$A$20,0)),0),IFERROR(INDEX(USINAGEM!$I$6:$I$29,(PARAMETROS!$C$9-1)*6+MATCH(F49,PARAMETROS!$B$32:$B$37,0)),0))</f>
        <v/>
      </c>
      <c r="K49" s="12">
        <f>IF(AND(C49&lt;&gt;"",J49&gt;0,J49=SUMPRODUCT(MAX(($B$6:$B$205=B49)*($C$6:$C$205=C49)*$J$6:$J$205))),"◄ GARGALO","")</f>
        <v/>
      </c>
      <c r="L49" s="33">
        <f>H49+I49+ROW()/10000000</f>
        <v/>
      </c>
    </row>
    <row r="50">
      <c r="A50" s="11">
        <f>IF(BASE!A50="","",BASE!A50)</f>
        <v/>
      </c>
      <c r="B50" s="11">
        <f>IF(BASE!B50="","",BASE!B50)</f>
        <v/>
      </c>
      <c r="C50" s="11">
        <f>IF(BASE!C50="","",BASE!C50)</f>
        <v/>
      </c>
      <c r="D50" s="11">
        <f>IF(BASE!D50="","",BASE!D50)</f>
        <v/>
      </c>
      <c r="E50" s="11">
        <f>IF(BASE!E50="","",BASE!E50)</f>
        <v/>
      </c>
      <c r="F50" s="11">
        <f>IF(BASE!F50="","",BASE!F50)</f>
        <v/>
      </c>
      <c r="G50" s="28">
        <f>N(BASE!L50)*INDEX(PARAMETROS!$C$25:$F$25,PARAMETROS!$C$9)</f>
        <v/>
      </c>
      <c r="H50" s="14">
        <f>IF(E50="",0,INDEX(PARAMETROS!$C$25:$F$25,PARAMETROS!$C$9)/60*N(BASE!L50)*BASE!P50*(IF(INDEX(PARAMETROS!$C$27:$F$27,PARAMETROS!$C$9)="Real",BASE!N50,N(BASE!H50))*INDEX(PARAMETROS!$C$26:$F$26,PARAMETROS!$C$9)+BASE!O50))</f>
        <v/>
      </c>
      <c r="I50" s="14">
        <f>IF(F50="",0,INDEX(PARAMETROS!$C$25:$F$25,PARAMETROS!$C$9)/60*N(BASE!L50)*(IF(INDEX(PARAMETROS!$C$27:$F$27,PARAMETROS!$C$9)="Real",BASE!N50,N(BASE!H50))*INDEX(PARAMETROS!$C$26:$F$26,PARAMETROS!$C$9)+BASE!O50))</f>
        <v/>
      </c>
      <c r="J50" s="15">
        <f>MAX(IFERROR(INDEX(CAP_CELULA!$J$6:$J$65,(PARAMETROS!$C$9-1)*15+MATCH(E50,MAO_OBRA!$A$6:$A$20,0)),0),IFERROR(INDEX(USINAGEM!$I$6:$I$29,(PARAMETROS!$C$9-1)*6+MATCH(F50,PARAMETROS!$B$32:$B$37,0)),0))</f>
        <v/>
      </c>
      <c r="K50" s="12">
        <f>IF(AND(C50&lt;&gt;"",J50&gt;0,J50=SUMPRODUCT(MAX(($B$6:$B$205=B50)*($C$6:$C$205=C50)*$J$6:$J$205))),"◄ GARGALO","")</f>
        <v/>
      </c>
      <c r="L50" s="33">
        <f>H50+I50+ROW()/10000000</f>
        <v/>
      </c>
    </row>
    <row r="51">
      <c r="A51" s="11">
        <f>IF(BASE!A51="","",BASE!A51)</f>
        <v/>
      </c>
      <c r="B51" s="11">
        <f>IF(BASE!B51="","",BASE!B51)</f>
        <v/>
      </c>
      <c r="C51" s="11">
        <f>IF(BASE!C51="","",BASE!C51)</f>
        <v/>
      </c>
      <c r="D51" s="11">
        <f>IF(BASE!D51="","",BASE!D51)</f>
        <v/>
      </c>
      <c r="E51" s="11">
        <f>IF(BASE!E51="","",BASE!E51)</f>
        <v/>
      </c>
      <c r="F51" s="11">
        <f>IF(BASE!F51="","",BASE!F51)</f>
        <v/>
      </c>
      <c r="G51" s="28">
        <f>N(BASE!L51)*INDEX(PARAMETROS!$C$25:$F$25,PARAMETROS!$C$9)</f>
        <v/>
      </c>
      <c r="H51" s="14">
        <f>IF(E51="",0,INDEX(PARAMETROS!$C$25:$F$25,PARAMETROS!$C$9)/60*N(BASE!L51)*BASE!P51*(IF(INDEX(PARAMETROS!$C$27:$F$27,PARAMETROS!$C$9)="Real",BASE!N51,N(BASE!H51))*INDEX(PARAMETROS!$C$26:$F$26,PARAMETROS!$C$9)+BASE!O51))</f>
        <v/>
      </c>
      <c r="I51" s="14">
        <f>IF(F51="",0,INDEX(PARAMETROS!$C$25:$F$25,PARAMETROS!$C$9)/60*N(BASE!L51)*(IF(INDEX(PARAMETROS!$C$27:$F$27,PARAMETROS!$C$9)="Real",BASE!N51,N(BASE!H51))*INDEX(PARAMETROS!$C$26:$F$26,PARAMETROS!$C$9)+BASE!O51))</f>
        <v/>
      </c>
      <c r="J51" s="15">
        <f>MAX(IFERROR(INDEX(CAP_CELULA!$J$6:$J$65,(PARAMETROS!$C$9-1)*15+MATCH(E51,MAO_OBRA!$A$6:$A$20,0)),0),IFERROR(INDEX(USINAGEM!$I$6:$I$29,(PARAMETROS!$C$9-1)*6+MATCH(F51,PARAMETROS!$B$32:$B$37,0)),0))</f>
        <v/>
      </c>
      <c r="K51" s="12">
        <f>IF(AND(C51&lt;&gt;"",J51&gt;0,J51=SUMPRODUCT(MAX(($B$6:$B$205=B51)*($C$6:$C$205=C51)*$J$6:$J$205))),"◄ GARGALO","")</f>
        <v/>
      </c>
      <c r="L51" s="33">
        <f>H51+I51+ROW()/10000000</f>
        <v/>
      </c>
    </row>
    <row r="52">
      <c r="A52" s="11">
        <f>IF(BASE!A52="","",BASE!A52)</f>
        <v/>
      </c>
      <c r="B52" s="11">
        <f>IF(BASE!B52="","",BASE!B52)</f>
        <v/>
      </c>
      <c r="C52" s="11">
        <f>IF(BASE!C52="","",BASE!C52)</f>
        <v/>
      </c>
      <c r="D52" s="11">
        <f>IF(BASE!D52="","",BASE!D52)</f>
        <v/>
      </c>
      <c r="E52" s="11">
        <f>IF(BASE!E52="","",BASE!E52)</f>
        <v/>
      </c>
      <c r="F52" s="11">
        <f>IF(BASE!F52="","",BASE!F52)</f>
        <v/>
      </c>
      <c r="G52" s="28">
        <f>N(BASE!L52)*INDEX(PARAMETROS!$C$25:$F$25,PARAMETROS!$C$9)</f>
        <v/>
      </c>
      <c r="H52" s="14">
        <f>IF(E52="",0,INDEX(PARAMETROS!$C$25:$F$25,PARAMETROS!$C$9)/60*N(BASE!L52)*BASE!P52*(IF(INDEX(PARAMETROS!$C$27:$F$27,PARAMETROS!$C$9)="Real",BASE!N52,N(BASE!H52))*INDEX(PARAMETROS!$C$26:$F$26,PARAMETROS!$C$9)+BASE!O52))</f>
        <v/>
      </c>
      <c r="I52" s="14">
        <f>IF(F52="",0,INDEX(PARAMETROS!$C$25:$F$25,PARAMETROS!$C$9)/60*N(BASE!L52)*(IF(INDEX(PARAMETROS!$C$27:$F$27,PARAMETROS!$C$9)="Real",BASE!N52,N(BASE!H52))*INDEX(PARAMETROS!$C$26:$F$26,PARAMETROS!$C$9)+BASE!O52))</f>
        <v/>
      </c>
      <c r="J52" s="15">
        <f>MAX(IFERROR(INDEX(CAP_CELULA!$J$6:$J$65,(PARAMETROS!$C$9-1)*15+MATCH(E52,MAO_OBRA!$A$6:$A$20,0)),0),IFERROR(INDEX(USINAGEM!$I$6:$I$29,(PARAMETROS!$C$9-1)*6+MATCH(F52,PARAMETROS!$B$32:$B$37,0)),0))</f>
        <v/>
      </c>
      <c r="K52" s="12">
        <f>IF(AND(C52&lt;&gt;"",J52&gt;0,J52=SUMPRODUCT(MAX(($B$6:$B$205=B52)*($C$6:$C$205=C52)*$J$6:$J$205))),"◄ GARGALO","")</f>
        <v/>
      </c>
      <c r="L52" s="33">
        <f>H52+I52+ROW()/10000000</f>
        <v/>
      </c>
    </row>
    <row r="53">
      <c r="A53" s="11">
        <f>IF(BASE!A53="","",BASE!A53)</f>
        <v/>
      </c>
      <c r="B53" s="11">
        <f>IF(BASE!B53="","",BASE!B53)</f>
        <v/>
      </c>
      <c r="C53" s="11">
        <f>IF(BASE!C53="","",BASE!C53)</f>
        <v/>
      </c>
      <c r="D53" s="11">
        <f>IF(BASE!D53="","",BASE!D53)</f>
        <v/>
      </c>
      <c r="E53" s="11">
        <f>IF(BASE!E53="","",BASE!E53)</f>
        <v/>
      </c>
      <c r="F53" s="11">
        <f>IF(BASE!F53="","",BASE!F53)</f>
        <v/>
      </c>
      <c r="G53" s="28">
        <f>N(BASE!L53)*INDEX(PARAMETROS!$C$25:$F$25,PARAMETROS!$C$9)</f>
        <v/>
      </c>
      <c r="H53" s="14">
        <f>IF(E53="",0,INDEX(PARAMETROS!$C$25:$F$25,PARAMETROS!$C$9)/60*N(BASE!L53)*BASE!P53*(IF(INDEX(PARAMETROS!$C$27:$F$27,PARAMETROS!$C$9)="Real",BASE!N53,N(BASE!H53))*INDEX(PARAMETROS!$C$26:$F$26,PARAMETROS!$C$9)+BASE!O53))</f>
        <v/>
      </c>
      <c r="I53" s="14">
        <f>IF(F53="",0,INDEX(PARAMETROS!$C$25:$F$25,PARAMETROS!$C$9)/60*N(BASE!L53)*(IF(INDEX(PARAMETROS!$C$27:$F$27,PARAMETROS!$C$9)="Real",BASE!N53,N(BASE!H53))*INDEX(PARAMETROS!$C$26:$F$26,PARAMETROS!$C$9)+BASE!O53))</f>
        <v/>
      </c>
      <c r="J53" s="15">
        <f>MAX(IFERROR(INDEX(CAP_CELULA!$J$6:$J$65,(PARAMETROS!$C$9-1)*15+MATCH(E53,MAO_OBRA!$A$6:$A$20,0)),0),IFERROR(INDEX(USINAGEM!$I$6:$I$29,(PARAMETROS!$C$9-1)*6+MATCH(F53,PARAMETROS!$B$32:$B$37,0)),0))</f>
        <v/>
      </c>
      <c r="K53" s="12">
        <f>IF(AND(C53&lt;&gt;"",J53&gt;0,J53=SUMPRODUCT(MAX(($B$6:$B$205=B53)*($C$6:$C$205=C53)*$J$6:$J$205))),"◄ GARGALO","")</f>
        <v/>
      </c>
      <c r="L53" s="33">
        <f>H53+I53+ROW()/10000000</f>
        <v/>
      </c>
    </row>
    <row r="54">
      <c r="A54" s="11">
        <f>IF(BASE!A54="","",BASE!A54)</f>
        <v/>
      </c>
      <c r="B54" s="11">
        <f>IF(BASE!B54="","",BASE!B54)</f>
        <v/>
      </c>
      <c r="C54" s="11">
        <f>IF(BASE!C54="","",BASE!C54)</f>
        <v/>
      </c>
      <c r="D54" s="11">
        <f>IF(BASE!D54="","",BASE!D54)</f>
        <v/>
      </c>
      <c r="E54" s="11">
        <f>IF(BASE!E54="","",BASE!E54)</f>
        <v/>
      </c>
      <c r="F54" s="11">
        <f>IF(BASE!F54="","",BASE!F54)</f>
        <v/>
      </c>
      <c r="G54" s="28">
        <f>N(BASE!L54)*INDEX(PARAMETROS!$C$25:$F$25,PARAMETROS!$C$9)</f>
        <v/>
      </c>
      <c r="H54" s="14">
        <f>IF(E54="",0,INDEX(PARAMETROS!$C$25:$F$25,PARAMETROS!$C$9)/60*N(BASE!L54)*BASE!P54*(IF(INDEX(PARAMETROS!$C$27:$F$27,PARAMETROS!$C$9)="Real",BASE!N54,N(BASE!H54))*INDEX(PARAMETROS!$C$26:$F$26,PARAMETROS!$C$9)+BASE!O54))</f>
        <v/>
      </c>
      <c r="I54" s="14">
        <f>IF(F54="",0,INDEX(PARAMETROS!$C$25:$F$25,PARAMETROS!$C$9)/60*N(BASE!L54)*(IF(INDEX(PARAMETROS!$C$27:$F$27,PARAMETROS!$C$9)="Real",BASE!N54,N(BASE!H54))*INDEX(PARAMETROS!$C$26:$F$26,PARAMETROS!$C$9)+BASE!O54))</f>
        <v/>
      </c>
      <c r="J54" s="15">
        <f>MAX(IFERROR(INDEX(CAP_CELULA!$J$6:$J$65,(PARAMETROS!$C$9-1)*15+MATCH(E54,MAO_OBRA!$A$6:$A$20,0)),0),IFERROR(INDEX(USINAGEM!$I$6:$I$29,(PARAMETROS!$C$9-1)*6+MATCH(F54,PARAMETROS!$B$32:$B$37,0)),0))</f>
        <v/>
      </c>
      <c r="K54" s="12">
        <f>IF(AND(C54&lt;&gt;"",J54&gt;0,J54=SUMPRODUCT(MAX(($B$6:$B$205=B54)*($C$6:$C$205=C54)*$J$6:$J$205))),"◄ GARGALO","")</f>
        <v/>
      </c>
      <c r="L54" s="33">
        <f>H54+I54+ROW()/10000000</f>
        <v/>
      </c>
    </row>
    <row r="55">
      <c r="A55" s="11">
        <f>IF(BASE!A55="","",BASE!A55)</f>
        <v/>
      </c>
      <c r="B55" s="11">
        <f>IF(BASE!B55="","",BASE!B55)</f>
        <v/>
      </c>
      <c r="C55" s="11">
        <f>IF(BASE!C55="","",BASE!C55)</f>
        <v/>
      </c>
      <c r="D55" s="11">
        <f>IF(BASE!D55="","",BASE!D55)</f>
        <v/>
      </c>
      <c r="E55" s="11">
        <f>IF(BASE!E55="","",BASE!E55)</f>
        <v/>
      </c>
      <c r="F55" s="11">
        <f>IF(BASE!F55="","",BASE!F55)</f>
        <v/>
      </c>
      <c r="G55" s="28">
        <f>N(BASE!L55)*INDEX(PARAMETROS!$C$25:$F$25,PARAMETROS!$C$9)</f>
        <v/>
      </c>
      <c r="H55" s="14">
        <f>IF(E55="",0,INDEX(PARAMETROS!$C$25:$F$25,PARAMETROS!$C$9)/60*N(BASE!L55)*BASE!P55*(IF(INDEX(PARAMETROS!$C$27:$F$27,PARAMETROS!$C$9)="Real",BASE!N55,N(BASE!H55))*INDEX(PARAMETROS!$C$26:$F$26,PARAMETROS!$C$9)+BASE!O55))</f>
        <v/>
      </c>
      <c r="I55" s="14">
        <f>IF(F55="",0,INDEX(PARAMETROS!$C$25:$F$25,PARAMETROS!$C$9)/60*N(BASE!L55)*(IF(INDEX(PARAMETROS!$C$27:$F$27,PARAMETROS!$C$9)="Real",BASE!N55,N(BASE!H55))*INDEX(PARAMETROS!$C$26:$F$26,PARAMETROS!$C$9)+BASE!O55))</f>
        <v/>
      </c>
      <c r="J55" s="15">
        <f>MAX(IFERROR(INDEX(CAP_CELULA!$J$6:$J$65,(PARAMETROS!$C$9-1)*15+MATCH(E55,MAO_OBRA!$A$6:$A$20,0)),0),IFERROR(INDEX(USINAGEM!$I$6:$I$29,(PARAMETROS!$C$9-1)*6+MATCH(F55,PARAMETROS!$B$32:$B$37,0)),0))</f>
        <v/>
      </c>
      <c r="K55" s="12">
        <f>IF(AND(C55&lt;&gt;"",J55&gt;0,J55=SUMPRODUCT(MAX(($B$6:$B$205=B55)*($C$6:$C$205=C55)*$J$6:$J$205))),"◄ GARGALO","")</f>
        <v/>
      </c>
      <c r="L55" s="33">
        <f>H55+I55+ROW()/10000000</f>
        <v/>
      </c>
    </row>
    <row r="56">
      <c r="A56" s="11">
        <f>IF(BASE!A56="","",BASE!A56)</f>
        <v/>
      </c>
      <c r="B56" s="11">
        <f>IF(BASE!B56="","",BASE!B56)</f>
        <v/>
      </c>
      <c r="C56" s="11">
        <f>IF(BASE!C56="","",BASE!C56)</f>
        <v/>
      </c>
      <c r="D56" s="11">
        <f>IF(BASE!D56="","",BASE!D56)</f>
        <v/>
      </c>
      <c r="E56" s="11">
        <f>IF(BASE!E56="","",BASE!E56)</f>
        <v/>
      </c>
      <c r="F56" s="11">
        <f>IF(BASE!F56="","",BASE!F56)</f>
        <v/>
      </c>
      <c r="G56" s="28">
        <f>N(BASE!L56)*INDEX(PARAMETROS!$C$25:$F$25,PARAMETROS!$C$9)</f>
        <v/>
      </c>
      <c r="H56" s="14">
        <f>IF(E56="",0,INDEX(PARAMETROS!$C$25:$F$25,PARAMETROS!$C$9)/60*N(BASE!L56)*BASE!P56*(IF(INDEX(PARAMETROS!$C$27:$F$27,PARAMETROS!$C$9)="Real",BASE!N56,N(BASE!H56))*INDEX(PARAMETROS!$C$26:$F$26,PARAMETROS!$C$9)+BASE!O56))</f>
        <v/>
      </c>
      <c r="I56" s="14">
        <f>IF(F56="",0,INDEX(PARAMETROS!$C$25:$F$25,PARAMETROS!$C$9)/60*N(BASE!L56)*(IF(INDEX(PARAMETROS!$C$27:$F$27,PARAMETROS!$C$9)="Real",BASE!N56,N(BASE!H56))*INDEX(PARAMETROS!$C$26:$F$26,PARAMETROS!$C$9)+BASE!O56))</f>
        <v/>
      </c>
      <c r="J56" s="15">
        <f>MAX(IFERROR(INDEX(CAP_CELULA!$J$6:$J$65,(PARAMETROS!$C$9-1)*15+MATCH(E56,MAO_OBRA!$A$6:$A$20,0)),0),IFERROR(INDEX(USINAGEM!$I$6:$I$29,(PARAMETROS!$C$9-1)*6+MATCH(F56,PARAMETROS!$B$32:$B$37,0)),0))</f>
        <v/>
      </c>
      <c r="K56" s="12">
        <f>IF(AND(C56&lt;&gt;"",J56&gt;0,J56=SUMPRODUCT(MAX(($B$6:$B$205=B56)*($C$6:$C$205=C56)*$J$6:$J$205))),"◄ GARGALO","")</f>
        <v/>
      </c>
      <c r="L56" s="33">
        <f>H56+I56+ROW()/10000000</f>
        <v/>
      </c>
    </row>
    <row r="57">
      <c r="A57" s="11">
        <f>IF(BASE!A57="","",BASE!A57)</f>
        <v/>
      </c>
      <c r="B57" s="11">
        <f>IF(BASE!B57="","",BASE!B57)</f>
        <v/>
      </c>
      <c r="C57" s="11">
        <f>IF(BASE!C57="","",BASE!C57)</f>
        <v/>
      </c>
      <c r="D57" s="11">
        <f>IF(BASE!D57="","",BASE!D57)</f>
        <v/>
      </c>
      <c r="E57" s="11">
        <f>IF(BASE!E57="","",BASE!E57)</f>
        <v/>
      </c>
      <c r="F57" s="11">
        <f>IF(BASE!F57="","",BASE!F57)</f>
        <v/>
      </c>
      <c r="G57" s="28">
        <f>N(BASE!L57)*INDEX(PARAMETROS!$C$25:$F$25,PARAMETROS!$C$9)</f>
        <v/>
      </c>
      <c r="H57" s="14">
        <f>IF(E57="",0,INDEX(PARAMETROS!$C$25:$F$25,PARAMETROS!$C$9)/60*N(BASE!L57)*BASE!P57*(IF(INDEX(PARAMETROS!$C$27:$F$27,PARAMETROS!$C$9)="Real",BASE!N57,N(BASE!H57))*INDEX(PARAMETROS!$C$26:$F$26,PARAMETROS!$C$9)+BASE!O57))</f>
        <v/>
      </c>
      <c r="I57" s="14">
        <f>IF(F57="",0,INDEX(PARAMETROS!$C$25:$F$25,PARAMETROS!$C$9)/60*N(BASE!L57)*(IF(INDEX(PARAMETROS!$C$27:$F$27,PARAMETROS!$C$9)="Real",BASE!N57,N(BASE!H57))*INDEX(PARAMETROS!$C$26:$F$26,PARAMETROS!$C$9)+BASE!O57))</f>
        <v/>
      </c>
      <c r="J57" s="15">
        <f>MAX(IFERROR(INDEX(CAP_CELULA!$J$6:$J$65,(PARAMETROS!$C$9-1)*15+MATCH(E57,MAO_OBRA!$A$6:$A$20,0)),0),IFERROR(INDEX(USINAGEM!$I$6:$I$29,(PARAMETROS!$C$9-1)*6+MATCH(F57,PARAMETROS!$B$32:$B$37,0)),0))</f>
        <v/>
      </c>
      <c r="K57" s="12">
        <f>IF(AND(C57&lt;&gt;"",J57&gt;0,J57=SUMPRODUCT(MAX(($B$6:$B$205=B57)*($C$6:$C$205=C57)*$J$6:$J$205))),"◄ GARGALO","")</f>
        <v/>
      </c>
      <c r="L57" s="33">
        <f>H57+I57+ROW()/10000000</f>
        <v/>
      </c>
    </row>
    <row r="58">
      <c r="A58" s="11">
        <f>IF(BASE!A58="","",BASE!A58)</f>
        <v/>
      </c>
      <c r="B58" s="11">
        <f>IF(BASE!B58="","",BASE!B58)</f>
        <v/>
      </c>
      <c r="C58" s="11">
        <f>IF(BASE!C58="","",BASE!C58)</f>
        <v/>
      </c>
      <c r="D58" s="11">
        <f>IF(BASE!D58="","",BASE!D58)</f>
        <v/>
      </c>
      <c r="E58" s="11">
        <f>IF(BASE!E58="","",BASE!E58)</f>
        <v/>
      </c>
      <c r="F58" s="11">
        <f>IF(BASE!F58="","",BASE!F58)</f>
        <v/>
      </c>
      <c r="G58" s="28">
        <f>N(BASE!L58)*INDEX(PARAMETROS!$C$25:$F$25,PARAMETROS!$C$9)</f>
        <v/>
      </c>
      <c r="H58" s="14">
        <f>IF(E58="",0,INDEX(PARAMETROS!$C$25:$F$25,PARAMETROS!$C$9)/60*N(BASE!L58)*BASE!P58*(IF(INDEX(PARAMETROS!$C$27:$F$27,PARAMETROS!$C$9)="Real",BASE!N58,N(BASE!H58))*INDEX(PARAMETROS!$C$26:$F$26,PARAMETROS!$C$9)+BASE!O58))</f>
        <v/>
      </c>
      <c r="I58" s="14">
        <f>IF(F58="",0,INDEX(PARAMETROS!$C$25:$F$25,PARAMETROS!$C$9)/60*N(BASE!L58)*(IF(INDEX(PARAMETROS!$C$27:$F$27,PARAMETROS!$C$9)="Real",BASE!N58,N(BASE!H58))*INDEX(PARAMETROS!$C$26:$F$26,PARAMETROS!$C$9)+BASE!O58))</f>
        <v/>
      </c>
      <c r="J58" s="15">
        <f>MAX(IFERROR(INDEX(CAP_CELULA!$J$6:$J$65,(PARAMETROS!$C$9-1)*15+MATCH(E58,MAO_OBRA!$A$6:$A$20,0)),0),IFERROR(INDEX(USINAGEM!$I$6:$I$29,(PARAMETROS!$C$9-1)*6+MATCH(F58,PARAMETROS!$B$32:$B$37,0)),0))</f>
        <v/>
      </c>
      <c r="K58" s="12">
        <f>IF(AND(C58&lt;&gt;"",J58&gt;0,J58=SUMPRODUCT(MAX(($B$6:$B$205=B58)*($C$6:$C$205=C58)*$J$6:$J$205))),"◄ GARGALO","")</f>
        <v/>
      </c>
      <c r="L58" s="33">
        <f>H58+I58+ROW()/10000000</f>
        <v/>
      </c>
    </row>
    <row r="59">
      <c r="A59" s="11">
        <f>IF(BASE!A59="","",BASE!A59)</f>
        <v/>
      </c>
      <c r="B59" s="11">
        <f>IF(BASE!B59="","",BASE!B59)</f>
        <v/>
      </c>
      <c r="C59" s="11">
        <f>IF(BASE!C59="","",BASE!C59)</f>
        <v/>
      </c>
      <c r="D59" s="11">
        <f>IF(BASE!D59="","",BASE!D59)</f>
        <v/>
      </c>
      <c r="E59" s="11">
        <f>IF(BASE!E59="","",BASE!E59)</f>
        <v/>
      </c>
      <c r="F59" s="11">
        <f>IF(BASE!F59="","",BASE!F59)</f>
        <v/>
      </c>
      <c r="G59" s="28">
        <f>N(BASE!L59)*INDEX(PARAMETROS!$C$25:$F$25,PARAMETROS!$C$9)</f>
        <v/>
      </c>
      <c r="H59" s="14">
        <f>IF(E59="",0,INDEX(PARAMETROS!$C$25:$F$25,PARAMETROS!$C$9)/60*N(BASE!L59)*BASE!P59*(IF(INDEX(PARAMETROS!$C$27:$F$27,PARAMETROS!$C$9)="Real",BASE!N59,N(BASE!H59))*INDEX(PARAMETROS!$C$26:$F$26,PARAMETROS!$C$9)+BASE!O59))</f>
        <v/>
      </c>
      <c r="I59" s="14">
        <f>IF(F59="",0,INDEX(PARAMETROS!$C$25:$F$25,PARAMETROS!$C$9)/60*N(BASE!L59)*(IF(INDEX(PARAMETROS!$C$27:$F$27,PARAMETROS!$C$9)="Real",BASE!N59,N(BASE!H59))*INDEX(PARAMETROS!$C$26:$F$26,PARAMETROS!$C$9)+BASE!O59))</f>
        <v/>
      </c>
      <c r="J59" s="15">
        <f>MAX(IFERROR(INDEX(CAP_CELULA!$J$6:$J$65,(PARAMETROS!$C$9-1)*15+MATCH(E59,MAO_OBRA!$A$6:$A$20,0)),0),IFERROR(INDEX(USINAGEM!$I$6:$I$29,(PARAMETROS!$C$9-1)*6+MATCH(F59,PARAMETROS!$B$32:$B$37,0)),0))</f>
        <v/>
      </c>
      <c r="K59" s="12">
        <f>IF(AND(C59&lt;&gt;"",J59&gt;0,J59=SUMPRODUCT(MAX(($B$6:$B$205=B59)*($C$6:$C$205=C59)*$J$6:$J$205))),"◄ GARGALO","")</f>
        <v/>
      </c>
      <c r="L59" s="33">
        <f>H59+I59+ROW()/10000000</f>
        <v/>
      </c>
    </row>
    <row r="60">
      <c r="A60" s="11">
        <f>IF(BASE!A60="","",BASE!A60)</f>
        <v/>
      </c>
      <c r="B60" s="11">
        <f>IF(BASE!B60="","",BASE!B60)</f>
        <v/>
      </c>
      <c r="C60" s="11">
        <f>IF(BASE!C60="","",BASE!C60)</f>
        <v/>
      </c>
      <c r="D60" s="11">
        <f>IF(BASE!D60="","",BASE!D60)</f>
        <v/>
      </c>
      <c r="E60" s="11">
        <f>IF(BASE!E60="","",BASE!E60)</f>
        <v/>
      </c>
      <c r="F60" s="11">
        <f>IF(BASE!F60="","",BASE!F60)</f>
        <v/>
      </c>
      <c r="G60" s="28">
        <f>N(BASE!L60)*INDEX(PARAMETROS!$C$25:$F$25,PARAMETROS!$C$9)</f>
        <v/>
      </c>
      <c r="H60" s="14">
        <f>IF(E60="",0,INDEX(PARAMETROS!$C$25:$F$25,PARAMETROS!$C$9)/60*N(BASE!L60)*BASE!P60*(IF(INDEX(PARAMETROS!$C$27:$F$27,PARAMETROS!$C$9)="Real",BASE!N60,N(BASE!H60))*INDEX(PARAMETROS!$C$26:$F$26,PARAMETROS!$C$9)+BASE!O60))</f>
        <v/>
      </c>
      <c r="I60" s="14">
        <f>IF(F60="",0,INDEX(PARAMETROS!$C$25:$F$25,PARAMETROS!$C$9)/60*N(BASE!L60)*(IF(INDEX(PARAMETROS!$C$27:$F$27,PARAMETROS!$C$9)="Real",BASE!N60,N(BASE!H60))*INDEX(PARAMETROS!$C$26:$F$26,PARAMETROS!$C$9)+BASE!O60))</f>
        <v/>
      </c>
      <c r="J60" s="15">
        <f>MAX(IFERROR(INDEX(CAP_CELULA!$J$6:$J$65,(PARAMETROS!$C$9-1)*15+MATCH(E60,MAO_OBRA!$A$6:$A$20,0)),0),IFERROR(INDEX(USINAGEM!$I$6:$I$29,(PARAMETROS!$C$9-1)*6+MATCH(F60,PARAMETROS!$B$32:$B$37,0)),0))</f>
        <v/>
      </c>
      <c r="K60" s="12">
        <f>IF(AND(C60&lt;&gt;"",J60&gt;0,J60=SUMPRODUCT(MAX(($B$6:$B$205=B60)*($C$6:$C$205=C60)*$J$6:$J$205))),"◄ GARGALO","")</f>
        <v/>
      </c>
      <c r="L60" s="33">
        <f>H60+I60+ROW()/10000000</f>
        <v/>
      </c>
    </row>
    <row r="61">
      <c r="A61" s="11">
        <f>IF(BASE!A61="","",BASE!A61)</f>
        <v/>
      </c>
      <c r="B61" s="11">
        <f>IF(BASE!B61="","",BASE!B61)</f>
        <v/>
      </c>
      <c r="C61" s="11">
        <f>IF(BASE!C61="","",BASE!C61)</f>
        <v/>
      </c>
      <c r="D61" s="11">
        <f>IF(BASE!D61="","",BASE!D61)</f>
        <v/>
      </c>
      <c r="E61" s="11">
        <f>IF(BASE!E61="","",BASE!E61)</f>
        <v/>
      </c>
      <c r="F61" s="11">
        <f>IF(BASE!F61="","",BASE!F61)</f>
        <v/>
      </c>
      <c r="G61" s="28">
        <f>N(BASE!L61)*INDEX(PARAMETROS!$C$25:$F$25,PARAMETROS!$C$9)</f>
        <v/>
      </c>
      <c r="H61" s="14">
        <f>IF(E61="",0,INDEX(PARAMETROS!$C$25:$F$25,PARAMETROS!$C$9)/60*N(BASE!L61)*BASE!P61*(IF(INDEX(PARAMETROS!$C$27:$F$27,PARAMETROS!$C$9)="Real",BASE!N61,N(BASE!H61))*INDEX(PARAMETROS!$C$26:$F$26,PARAMETROS!$C$9)+BASE!O61))</f>
        <v/>
      </c>
      <c r="I61" s="14">
        <f>IF(F61="",0,INDEX(PARAMETROS!$C$25:$F$25,PARAMETROS!$C$9)/60*N(BASE!L61)*(IF(INDEX(PARAMETROS!$C$27:$F$27,PARAMETROS!$C$9)="Real",BASE!N61,N(BASE!H61))*INDEX(PARAMETROS!$C$26:$F$26,PARAMETROS!$C$9)+BASE!O61))</f>
        <v/>
      </c>
      <c r="J61" s="15">
        <f>MAX(IFERROR(INDEX(CAP_CELULA!$J$6:$J$65,(PARAMETROS!$C$9-1)*15+MATCH(E61,MAO_OBRA!$A$6:$A$20,0)),0),IFERROR(INDEX(USINAGEM!$I$6:$I$29,(PARAMETROS!$C$9-1)*6+MATCH(F61,PARAMETROS!$B$32:$B$37,0)),0))</f>
        <v/>
      </c>
      <c r="K61" s="12">
        <f>IF(AND(C61&lt;&gt;"",J61&gt;0,J61=SUMPRODUCT(MAX(($B$6:$B$205=B61)*($C$6:$C$205=C61)*$J$6:$J$205))),"◄ GARGALO","")</f>
        <v/>
      </c>
      <c r="L61" s="33">
        <f>H61+I61+ROW()/10000000</f>
        <v/>
      </c>
    </row>
    <row r="62">
      <c r="A62" s="11">
        <f>IF(BASE!A62="","",BASE!A62)</f>
        <v/>
      </c>
      <c r="B62" s="11">
        <f>IF(BASE!B62="","",BASE!B62)</f>
        <v/>
      </c>
      <c r="C62" s="11">
        <f>IF(BASE!C62="","",BASE!C62)</f>
        <v/>
      </c>
      <c r="D62" s="11">
        <f>IF(BASE!D62="","",BASE!D62)</f>
        <v/>
      </c>
      <c r="E62" s="11">
        <f>IF(BASE!E62="","",BASE!E62)</f>
        <v/>
      </c>
      <c r="F62" s="11">
        <f>IF(BASE!F62="","",BASE!F62)</f>
        <v/>
      </c>
      <c r="G62" s="28">
        <f>N(BASE!L62)*INDEX(PARAMETROS!$C$25:$F$25,PARAMETROS!$C$9)</f>
        <v/>
      </c>
      <c r="H62" s="14">
        <f>IF(E62="",0,INDEX(PARAMETROS!$C$25:$F$25,PARAMETROS!$C$9)/60*N(BASE!L62)*BASE!P62*(IF(INDEX(PARAMETROS!$C$27:$F$27,PARAMETROS!$C$9)="Real",BASE!N62,N(BASE!H62))*INDEX(PARAMETROS!$C$26:$F$26,PARAMETROS!$C$9)+BASE!O62))</f>
        <v/>
      </c>
      <c r="I62" s="14">
        <f>IF(F62="",0,INDEX(PARAMETROS!$C$25:$F$25,PARAMETROS!$C$9)/60*N(BASE!L62)*(IF(INDEX(PARAMETROS!$C$27:$F$27,PARAMETROS!$C$9)="Real",BASE!N62,N(BASE!H62))*INDEX(PARAMETROS!$C$26:$F$26,PARAMETROS!$C$9)+BASE!O62))</f>
        <v/>
      </c>
      <c r="J62" s="15">
        <f>MAX(IFERROR(INDEX(CAP_CELULA!$J$6:$J$65,(PARAMETROS!$C$9-1)*15+MATCH(E62,MAO_OBRA!$A$6:$A$20,0)),0),IFERROR(INDEX(USINAGEM!$I$6:$I$29,(PARAMETROS!$C$9-1)*6+MATCH(F62,PARAMETROS!$B$32:$B$37,0)),0))</f>
        <v/>
      </c>
      <c r="K62" s="12">
        <f>IF(AND(C62&lt;&gt;"",J62&gt;0,J62=SUMPRODUCT(MAX(($B$6:$B$205=B62)*($C$6:$C$205=C62)*$J$6:$J$205))),"◄ GARGALO","")</f>
        <v/>
      </c>
      <c r="L62" s="33">
        <f>H62+I62+ROW()/10000000</f>
        <v/>
      </c>
    </row>
    <row r="63">
      <c r="A63" s="11">
        <f>IF(BASE!A63="","",BASE!A63)</f>
        <v/>
      </c>
      <c r="B63" s="11">
        <f>IF(BASE!B63="","",BASE!B63)</f>
        <v/>
      </c>
      <c r="C63" s="11">
        <f>IF(BASE!C63="","",BASE!C63)</f>
        <v/>
      </c>
      <c r="D63" s="11">
        <f>IF(BASE!D63="","",BASE!D63)</f>
        <v/>
      </c>
      <c r="E63" s="11">
        <f>IF(BASE!E63="","",BASE!E63)</f>
        <v/>
      </c>
      <c r="F63" s="11">
        <f>IF(BASE!F63="","",BASE!F63)</f>
        <v/>
      </c>
      <c r="G63" s="28">
        <f>N(BASE!L63)*INDEX(PARAMETROS!$C$25:$F$25,PARAMETROS!$C$9)</f>
        <v/>
      </c>
      <c r="H63" s="14">
        <f>IF(E63="",0,INDEX(PARAMETROS!$C$25:$F$25,PARAMETROS!$C$9)/60*N(BASE!L63)*BASE!P63*(IF(INDEX(PARAMETROS!$C$27:$F$27,PARAMETROS!$C$9)="Real",BASE!N63,N(BASE!H63))*INDEX(PARAMETROS!$C$26:$F$26,PARAMETROS!$C$9)+BASE!O63))</f>
        <v/>
      </c>
      <c r="I63" s="14">
        <f>IF(F63="",0,INDEX(PARAMETROS!$C$25:$F$25,PARAMETROS!$C$9)/60*N(BASE!L63)*(IF(INDEX(PARAMETROS!$C$27:$F$27,PARAMETROS!$C$9)="Real",BASE!N63,N(BASE!H63))*INDEX(PARAMETROS!$C$26:$F$26,PARAMETROS!$C$9)+BASE!O63))</f>
        <v/>
      </c>
      <c r="J63" s="15">
        <f>MAX(IFERROR(INDEX(CAP_CELULA!$J$6:$J$65,(PARAMETROS!$C$9-1)*15+MATCH(E63,MAO_OBRA!$A$6:$A$20,0)),0),IFERROR(INDEX(USINAGEM!$I$6:$I$29,(PARAMETROS!$C$9-1)*6+MATCH(F63,PARAMETROS!$B$32:$B$37,0)),0))</f>
        <v/>
      </c>
      <c r="K63" s="12">
        <f>IF(AND(C63&lt;&gt;"",J63&gt;0,J63=SUMPRODUCT(MAX(($B$6:$B$205=B63)*($C$6:$C$205=C63)*$J$6:$J$205))),"◄ GARGALO","")</f>
        <v/>
      </c>
      <c r="L63" s="33">
        <f>H63+I63+ROW()/10000000</f>
        <v/>
      </c>
    </row>
    <row r="64">
      <c r="A64" s="11">
        <f>IF(BASE!A64="","",BASE!A64)</f>
        <v/>
      </c>
      <c r="B64" s="11">
        <f>IF(BASE!B64="","",BASE!B64)</f>
        <v/>
      </c>
      <c r="C64" s="11">
        <f>IF(BASE!C64="","",BASE!C64)</f>
        <v/>
      </c>
      <c r="D64" s="11">
        <f>IF(BASE!D64="","",BASE!D64)</f>
        <v/>
      </c>
      <c r="E64" s="11">
        <f>IF(BASE!E64="","",BASE!E64)</f>
        <v/>
      </c>
      <c r="F64" s="11">
        <f>IF(BASE!F64="","",BASE!F64)</f>
        <v/>
      </c>
      <c r="G64" s="28">
        <f>N(BASE!L64)*INDEX(PARAMETROS!$C$25:$F$25,PARAMETROS!$C$9)</f>
        <v/>
      </c>
      <c r="H64" s="14">
        <f>IF(E64="",0,INDEX(PARAMETROS!$C$25:$F$25,PARAMETROS!$C$9)/60*N(BASE!L64)*BASE!P64*(IF(INDEX(PARAMETROS!$C$27:$F$27,PARAMETROS!$C$9)="Real",BASE!N64,N(BASE!H64))*INDEX(PARAMETROS!$C$26:$F$26,PARAMETROS!$C$9)+BASE!O64))</f>
        <v/>
      </c>
      <c r="I64" s="14">
        <f>IF(F64="",0,INDEX(PARAMETROS!$C$25:$F$25,PARAMETROS!$C$9)/60*N(BASE!L64)*(IF(INDEX(PARAMETROS!$C$27:$F$27,PARAMETROS!$C$9)="Real",BASE!N64,N(BASE!H64))*INDEX(PARAMETROS!$C$26:$F$26,PARAMETROS!$C$9)+BASE!O64))</f>
        <v/>
      </c>
      <c r="J64" s="15">
        <f>MAX(IFERROR(INDEX(CAP_CELULA!$J$6:$J$65,(PARAMETROS!$C$9-1)*15+MATCH(E64,MAO_OBRA!$A$6:$A$20,0)),0),IFERROR(INDEX(USINAGEM!$I$6:$I$29,(PARAMETROS!$C$9-1)*6+MATCH(F64,PARAMETROS!$B$32:$B$37,0)),0))</f>
        <v/>
      </c>
      <c r="K64" s="12">
        <f>IF(AND(C64&lt;&gt;"",J64&gt;0,J64=SUMPRODUCT(MAX(($B$6:$B$205=B64)*($C$6:$C$205=C64)*$J$6:$J$205))),"◄ GARGALO","")</f>
        <v/>
      </c>
      <c r="L64" s="33">
        <f>H64+I64+ROW()/10000000</f>
        <v/>
      </c>
    </row>
    <row r="65">
      <c r="A65" s="11">
        <f>IF(BASE!A65="","",BASE!A65)</f>
        <v/>
      </c>
      <c r="B65" s="11">
        <f>IF(BASE!B65="","",BASE!B65)</f>
        <v/>
      </c>
      <c r="C65" s="11">
        <f>IF(BASE!C65="","",BASE!C65)</f>
        <v/>
      </c>
      <c r="D65" s="11">
        <f>IF(BASE!D65="","",BASE!D65)</f>
        <v/>
      </c>
      <c r="E65" s="11">
        <f>IF(BASE!E65="","",BASE!E65)</f>
        <v/>
      </c>
      <c r="F65" s="11">
        <f>IF(BASE!F65="","",BASE!F65)</f>
        <v/>
      </c>
      <c r="G65" s="28">
        <f>N(BASE!L65)*INDEX(PARAMETROS!$C$25:$F$25,PARAMETROS!$C$9)</f>
        <v/>
      </c>
      <c r="H65" s="14">
        <f>IF(E65="",0,INDEX(PARAMETROS!$C$25:$F$25,PARAMETROS!$C$9)/60*N(BASE!L65)*BASE!P65*(IF(INDEX(PARAMETROS!$C$27:$F$27,PARAMETROS!$C$9)="Real",BASE!N65,N(BASE!H65))*INDEX(PARAMETROS!$C$26:$F$26,PARAMETROS!$C$9)+BASE!O65))</f>
        <v/>
      </c>
      <c r="I65" s="14">
        <f>IF(F65="",0,INDEX(PARAMETROS!$C$25:$F$25,PARAMETROS!$C$9)/60*N(BASE!L65)*(IF(INDEX(PARAMETROS!$C$27:$F$27,PARAMETROS!$C$9)="Real",BASE!N65,N(BASE!H65))*INDEX(PARAMETROS!$C$26:$F$26,PARAMETROS!$C$9)+BASE!O65))</f>
        <v/>
      </c>
      <c r="J65" s="15">
        <f>MAX(IFERROR(INDEX(CAP_CELULA!$J$6:$J$65,(PARAMETROS!$C$9-1)*15+MATCH(E65,MAO_OBRA!$A$6:$A$20,0)),0),IFERROR(INDEX(USINAGEM!$I$6:$I$29,(PARAMETROS!$C$9-1)*6+MATCH(F65,PARAMETROS!$B$32:$B$37,0)),0))</f>
        <v/>
      </c>
      <c r="K65" s="12">
        <f>IF(AND(C65&lt;&gt;"",J65&gt;0,J65=SUMPRODUCT(MAX(($B$6:$B$205=B65)*($C$6:$C$205=C65)*$J$6:$J$205))),"◄ GARGALO","")</f>
        <v/>
      </c>
      <c r="L65" s="33">
        <f>H65+I65+ROW()/10000000</f>
        <v/>
      </c>
    </row>
    <row r="66">
      <c r="A66" s="11">
        <f>IF(BASE!A66="","",BASE!A66)</f>
        <v/>
      </c>
      <c r="B66" s="11">
        <f>IF(BASE!B66="","",BASE!B66)</f>
        <v/>
      </c>
      <c r="C66" s="11">
        <f>IF(BASE!C66="","",BASE!C66)</f>
        <v/>
      </c>
      <c r="D66" s="11">
        <f>IF(BASE!D66="","",BASE!D66)</f>
        <v/>
      </c>
      <c r="E66" s="11">
        <f>IF(BASE!E66="","",BASE!E66)</f>
        <v/>
      </c>
      <c r="F66" s="11">
        <f>IF(BASE!F66="","",BASE!F66)</f>
        <v/>
      </c>
      <c r="G66" s="28">
        <f>N(BASE!L66)*INDEX(PARAMETROS!$C$25:$F$25,PARAMETROS!$C$9)</f>
        <v/>
      </c>
      <c r="H66" s="14">
        <f>IF(E66="",0,INDEX(PARAMETROS!$C$25:$F$25,PARAMETROS!$C$9)/60*N(BASE!L66)*BASE!P66*(IF(INDEX(PARAMETROS!$C$27:$F$27,PARAMETROS!$C$9)="Real",BASE!N66,N(BASE!H66))*INDEX(PARAMETROS!$C$26:$F$26,PARAMETROS!$C$9)+BASE!O66))</f>
        <v/>
      </c>
      <c r="I66" s="14">
        <f>IF(F66="",0,INDEX(PARAMETROS!$C$25:$F$25,PARAMETROS!$C$9)/60*N(BASE!L66)*(IF(INDEX(PARAMETROS!$C$27:$F$27,PARAMETROS!$C$9)="Real",BASE!N66,N(BASE!H66))*INDEX(PARAMETROS!$C$26:$F$26,PARAMETROS!$C$9)+BASE!O66))</f>
        <v/>
      </c>
      <c r="J66" s="15">
        <f>MAX(IFERROR(INDEX(CAP_CELULA!$J$6:$J$65,(PARAMETROS!$C$9-1)*15+MATCH(E66,MAO_OBRA!$A$6:$A$20,0)),0),IFERROR(INDEX(USINAGEM!$I$6:$I$29,(PARAMETROS!$C$9-1)*6+MATCH(F66,PARAMETROS!$B$32:$B$37,0)),0))</f>
        <v/>
      </c>
      <c r="K66" s="12">
        <f>IF(AND(C66&lt;&gt;"",J66&gt;0,J66=SUMPRODUCT(MAX(($B$6:$B$205=B66)*($C$6:$C$205=C66)*$J$6:$J$205))),"◄ GARGALO","")</f>
        <v/>
      </c>
      <c r="L66" s="33">
        <f>H66+I66+ROW()/10000000</f>
        <v/>
      </c>
    </row>
    <row r="67">
      <c r="A67" s="11">
        <f>IF(BASE!A67="","",BASE!A67)</f>
        <v/>
      </c>
      <c r="B67" s="11">
        <f>IF(BASE!B67="","",BASE!B67)</f>
        <v/>
      </c>
      <c r="C67" s="11">
        <f>IF(BASE!C67="","",BASE!C67)</f>
        <v/>
      </c>
      <c r="D67" s="11">
        <f>IF(BASE!D67="","",BASE!D67)</f>
        <v/>
      </c>
      <c r="E67" s="11">
        <f>IF(BASE!E67="","",BASE!E67)</f>
        <v/>
      </c>
      <c r="F67" s="11">
        <f>IF(BASE!F67="","",BASE!F67)</f>
        <v/>
      </c>
      <c r="G67" s="28">
        <f>N(BASE!L67)*INDEX(PARAMETROS!$C$25:$F$25,PARAMETROS!$C$9)</f>
        <v/>
      </c>
      <c r="H67" s="14">
        <f>IF(E67="",0,INDEX(PARAMETROS!$C$25:$F$25,PARAMETROS!$C$9)/60*N(BASE!L67)*BASE!P67*(IF(INDEX(PARAMETROS!$C$27:$F$27,PARAMETROS!$C$9)="Real",BASE!N67,N(BASE!H67))*INDEX(PARAMETROS!$C$26:$F$26,PARAMETROS!$C$9)+BASE!O67))</f>
        <v/>
      </c>
      <c r="I67" s="14">
        <f>IF(F67="",0,INDEX(PARAMETROS!$C$25:$F$25,PARAMETROS!$C$9)/60*N(BASE!L67)*(IF(INDEX(PARAMETROS!$C$27:$F$27,PARAMETROS!$C$9)="Real",BASE!N67,N(BASE!H67))*INDEX(PARAMETROS!$C$26:$F$26,PARAMETROS!$C$9)+BASE!O67))</f>
        <v/>
      </c>
      <c r="J67" s="15">
        <f>MAX(IFERROR(INDEX(CAP_CELULA!$J$6:$J$65,(PARAMETROS!$C$9-1)*15+MATCH(E67,MAO_OBRA!$A$6:$A$20,0)),0),IFERROR(INDEX(USINAGEM!$I$6:$I$29,(PARAMETROS!$C$9-1)*6+MATCH(F67,PARAMETROS!$B$32:$B$37,0)),0))</f>
        <v/>
      </c>
      <c r="K67" s="12">
        <f>IF(AND(C67&lt;&gt;"",J67&gt;0,J67=SUMPRODUCT(MAX(($B$6:$B$205=B67)*($C$6:$C$205=C67)*$J$6:$J$205))),"◄ GARGALO","")</f>
        <v/>
      </c>
      <c r="L67" s="33">
        <f>H67+I67+ROW()/10000000</f>
        <v/>
      </c>
    </row>
    <row r="68">
      <c r="A68" s="11">
        <f>IF(BASE!A68="","",BASE!A68)</f>
        <v/>
      </c>
      <c r="B68" s="11">
        <f>IF(BASE!B68="","",BASE!B68)</f>
        <v/>
      </c>
      <c r="C68" s="11">
        <f>IF(BASE!C68="","",BASE!C68)</f>
        <v/>
      </c>
      <c r="D68" s="11">
        <f>IF(BASE!D68="","",BASE!D68)</f>
        <v/>
      </c>
      <c r="E68" s="11">
        <f>IF(BASE!E68="","",BASE!E68)</f>
        <v/>
      </c>
      <c r="F68" s="11">
        <f>IF(BASE!F68="","",BASE!F68)</f>
        <v/>
      </c>
      <c r="G68" s="28">
        <f>N(BASE!L68)*INDEX(PARAMETROS!$C$25:$F$25,PARAMETROS!$C$9)</f>
        <v/>
      </c>
      <c r="H68" s="14">
        <f>IF(E68="",0,INDEX(PARAMETROS!$C$25:$F$25,PARAMETROS!$C$9)/60*N(BASE!L68)*BASE!P68*(IF(INDEX(PARAMETROS!$C$27:$F$27,PARAMETROS!$C$9)="Real",BASE!N68,N(BASE!H68))*INDEX(PARAMETROS!$C$26:$F$26,PARAMETROS!$C$9)+BASE!O68))</f>
        <v/>
      </c>
      <c r="I68" s="14">
        <f>IF(F68="",0,INDEX(PARAMETROS!$C$25:$F$25,PARAMETROS!$C$9)/60*N(BASE!L68)*(IF(INDEX(PARAMETROS!$C$27:$F$27,PARAMETROS!$C$9)="Real",BASE!N68,N(BASE!H68))*INDEX(PARAMETROS!$C$26:$F$26,PARAMETROS!$C$9)+BASE!O68))</f>
        <v/>
      </c>
      <c r="J68" s="15">
        <f>MAX(IFERROR(INDEX(CAP_CELULA!$J$6:$J$65,(PARAMETROS!$C$9-1)*15+MATCH(E68,MAO_OBRA!$A$6:$A$20,0)),0),IFERROR(INDEX(USINAGEM!$I$6:$I$29,(PARAMETROS!$C$9-1)*6+MATCH(F68,PARAMETROS!$B$32:$B$37,0)),0))</f>
        <v/>
      </c>
      <c r="K68" s="12">
        <f>IF(AND(C68&lt;&gt;"",J68&gt;0,J68=SUMPRODUCT(MAX(($B$6:$B$205=B68)*($C$6:$C$205=C68)*$J$6:$J$205))),"◄ GARGALO","")</f>
        <v/>
      </c>
      <c r="L68" s="33">
        <f>H68+I68+ROW()/10000000</f>
        <v/>
      </c>
    </row>
    <row r="69">
      <c r="A69" s="11">
        <f>IF(BASE!A69="","",BASE!A69)</f>
        <v/>
      </c>
      <c r="B69" s="11">
        <f>IF(BASE!B69="","",BASE!B69)</f>
        <v/>
      </c>
      <c r="C69" s="11">
        <f>IF(BASE!C69="","",BASE!C69)</f>
        <v/>
      </c>
      <c r="D69" s="11">
        <f>IF(BASE!D69="","",BASE!D69)</f>
        <v/>
      </c>
      <c r="E69" s="11">
        <f>IF(BASE!E69="","",BASE!E69)</f>
        <v/>
      </c>
      <c r="F69" s="11">
        <f>IF(BASE!F69="","",BASE!F69)</f>
        <v/>
      </c>
      <c r="G69" s="28">
        <f>N(BASE!L69)*INDEX(PARAMETROS!$C$25:$F$25,PARAMETROS!$C$9)</f>
        <v/>
      </c>
      <c r="H69" s="14">
        <f>IF(E69="",0,INDEX(PARAMETROS!$C$25:$F$25,PARAMETROS!$C$9)/60*N(BASE!L69)*BASE!P69*(IF(INDEX(PARAMETROS!$C$27:$F$27,PARAMETROS!$C$9)="Real",BASE!N69,N(BASE!H69))*INDEX(PARAMETROS!$C$26:$F$26,PARAMETROS!$C$9)+BASE!O69))</f>
        <v/>
      </c>
      <c r="I69" s="14">
        <f>IF(F69="",0,INDEX(PARAMETROS!$C$25:$F$25,PARAMETROS!$C$9)/60*N(BASE!L69)*(IF(INDEX(PARAMETROS!$C$27:$F$27,PARAMETROS!$C$9)="Real",BASE!N69,N(BASE!H69))*INDEX(PARAMETROS!$C$26:$F$26,PARAMETROS!$C$9)+BASE!O69))</f>
        <v/>
      </c>
      <c r="J69" s="15">
        <f>MAX(IFERROR(INDEX(CAP_CELULA!$J$6:$J$65,(PARAMETROS!$C$9-1)*15+MATCH(E69,MAO_OBRA!$A$6:$A$20,0)),0),IFERROR(INDEX(USINAGEM!$I$6:$I$29,(PARAMETROS!$C$9-1)*6+MATCH(F69,PARAMETROS!$B$32:$B$37,0)),0))</f>
        <v/>
      </c>
      <c r="K69" s="12">
        <f>IF(AND(C69&lt;&gt;"",J69&gt;0,J69=SUMPRODUCT(MAX(($B$6:$B$205=B69)*($C$6:$C$205=C69)*$J$6:$J$205))),"◄ GARGALO","")</f>
        <v/>
      </c>
      <c r="L69" s="33">
        <f>H69+I69+ROW()/10000000</f>
        <v/>
      </c>
    </row>
    <row r="70">
      <c r="A70" s="11">
        <f>IF(BASE!A70="","",BASE!A70)</f>
        <v/>
      </c>
      <c r="B70" s="11">
        <f>IF(BASE!B70="","",BASE!B70)</f>
        <v/>
      </c>
      <c r="C70" s="11">
        <f>IF(BASE!C70="","",BASE!C70)</f>
        <v/>
      </c>
      <c r="D70" s="11">
        <f>IF(BASE!D70="","",BASE!D70)</f>
        <v/>
      </c>
      <c r="E70" s="11">
        <f>IF(BASE!E70="","",BASE!E70)</f>
        <v/>
      </c>
      <c r="F70" s="11">
        <f>IF(BASE!F70="","",BASE!F70)</f>
        <v/>
      </c>
      <c r="G70" s="28">
        <f>N(BASE!L70)*INDEX(PARAMETROS!$C$25:$F$25,PARAMETROS!$C$9)</f>
        <v/>
      </c>
      <c r="H70" s="14">
        <f>IF(E70="",0,INDEX(PARAMETROS!$C$25:$F$25,PARAMETROS!$C$9)/60*N(BASE!L70)*BASE!P70*(IF(INDEX(PARAMETROS!$C$27:$F$27,PARAMETROS!$C$9)="Real",BASE!N70,N(BASE!H70))*INDEX(PARAMETROS!$C$26:$F$26,PARAMETROS!$C$9)+BASE!O70))</f>
        <v/>
      </c>
      <c r="I70" s="14">
        <f>IF(F70="",0,INDEX(PARAMETROS!$C$25:$F$25,PARAMETROS!$C$9)/60*N(BASE!L70)*(IF(INDEX(PARAMETROS!$C$27:$F$27,PARAMETROS!$C$9)="Real",BASE!N70,N(BASE!H70))*INDEX(PARAMETROS!$C$26:$F$26,PARAMETROS!$C$9)+BASE!O70))</f>
        <v/>
      </c>
      <c r="J70" s="15">
        <f>MAX(IFERROR(INDEX(CAP_CELULA!$J$6:$J$65,(PARAMETROS!$C$9-1)*15+MATCH(E70,MAO_OBRA!$A$6:$A$20,0)),0),IFERROR(INDEX(USINAGEM!$I$6:$I$29,(PARAMETROS!$C$9-1)*6+MATCH(F70,PARAMETROS!$B$32:$B$37,0)),0))</f>
        <v/>
      </c>
      <c r="K70" s="12">
        <f>IF(AND(C70&lt;&gt;"",J70&gt;0,J70=SUMPRODUCT(MAX(($B$6:$B$205=B70)*($C$6:$C$205=C70)*$J$6:$J$205))),"◄ GARGALO","")</f>
        <v/>
      </c>
      <c r="L70" s="33">
        <f>H70+I70+ROW()/10000000</f>
        <v/>
      </c>
    </row>
    <row r="71">
      <c r="A71" s="11">
        <f>IF(BASE!A71="","",BASE!A71)</f>
        <v/>
      </c>
      <c r="B71" s="11">
        <f>IF(BASE!B71="","",BASE!B71)</f>
        <v/>
      </c>
      <c r="C71" s="11">
        <f>IF(BASE!C71="","",BASE!C71)</f>
        <v/>
      </c>
      <c r="D71" s="11">
        <f>IF(BASE!D71="","",BASE!D71)</f>
        <v/>
      </c>
      <c r="E71" s="11">
        <f>IF(BASE!E71="","",BASE!E71)</f>
        <v/>
      </c>
      <c r="F71" s="11">
        <f>IF(BASE!F71="","",BASE!F71)</f>
        <v/>
      </c>
      <c r="G71" s="28">
        <f>N(BASE!L71)*INDEX(PARAMETROS!$C$25:$F$25,PARAMETROS!$C$9)</f>
        <v/>
      </c>
      <c r="H71" s="14">
        <f>IF(E71="",0,INDEX(PARAMETROS!$C$25:$F$25,PARAMETROS!$C$9)/60*N(BASE!L71)*BASE!P71*(IF(INDEX(PARAMETROS!$C$27:$F$27,PARAMETROS!$C$9)="Real",BASE!N71,N(BASE!H71))*INDEX(PARAMETROS!$C$26:$F$26,PARAMETROS!$C$9)+BASE!O71))</f>
        <v/>
      </c>
      <c r="I71" s="14">
        <f>IF(F71="",0,INDEX(PARAMETROS!$C$25:$F$25,PARAMETROS!$C$9)/60*N(BASE!L71)*(IF(INDEX(PARAMETROS!$C$27:$F$27,PARAMETROS!$C$9)="Real",BASE!N71,N(BASE!H71))*INDEX(PARAMETROS!$C$26:$F$26,PARAMETROS!$C$9)+BASE!O71))</f>
        <v/>
      </c>
      <c r="J71" s="15">
        <f>MAX(IFERROR(INDEX(CAP_CELULA!$J$6:$J$65,(PARAMETROS!$C$9-1)*15+MATCH(E71,MAO_OBRA!$A$6:$A$20,0)),0),IFERROR(INDEX(USINAGEM!$I$6:$I$29,(PARAMETROS!$C$9-1)*6+MATCH(F71,PARAMETROS!$B$32:$B$37,0)),0))</f>
        <v/>
      </c>
      <c r="K71" s="12">
        <f>IF(AND(C71&lt;&gt;"",J71&gt;0,J71=SUMPRODUCT(MAX(($B$6:$B$205=B71)*($C$6:$C$205=C71)*$J$6:$J$205))),"◄ GARGALO","")</f>
        <v/>
      </c>
      <c r="L71" s="33">
        <f>H71+I71+ROW()/10000000</f>
        <v/>
      </c>
    </row>
    <row r="72">
      <c r="A72" s="11">
        <f>IF(BASE!A72="","",BASE!A72)</f>
        <v/>
      </c>
      <c r="B72" s="11">
        <f>IF(BASE!B72="","",BASE!B72)</f>
        <v/>
      </c>
      <c r="C72" s="11">
        <f>IF(BASE!C72="","",BASE!C72)</f>
        <v/>
      </c>
      <c r="D72" s="11">
        <f>IF(BASE!D72="","",BASE!D72)</f>
        <v/>
      </c>
      <c r="E72" s="11">
        <f>IF(BASE!E72="","",BASE!E72)</f>
        <v/>
      </c>
      <c r="F72" s="11">
        <f>IF(BASE!F72="","",BASE!F72)</f>
        <v/>
      </c>
      <c r="G72" s="28">
        <f>N(BASE!L72)*INDEX(PARAMETROS!$C$25:$F$25,PARAMETROS!$C$9)</f>
        <v/>
      </c>
      <c r="H72" s="14">
        <f>IF(E72="",0,INDEX(PARAMETROS!$C$25:$F$25,PARAMETROS!$C$9)/60*N(BASE!L72)*BASE!P72*(IF(INDEX(PARAMETROS!$C$27:$F$27,PARAMETROS!$C$9)="Real",BASE!N72,N(BASE!H72))*INDEX(PARAMETROS!$C$26:$F$26,PARAMETROS!$C$9)+BASE!O72))</f>
        <v/>
      </c>
      <c r="I72" s="14">
        <f>IF(F72="",0,INDEX(PARAMETROS!$C$25:$F$25,PARAMETROS!$C$9)/60*N(BASE!L72)*(IF(INDEX(PARAMETROS!$C$27:$F$27,PARAMETROS!$C$9)="Real",BASE!N72,N(BASE!H72))*INDEX(PARAMETROS!$C$26:$F$26,PARAMETROS!$C$9)+BASE!O72))</f>
        <v/>
      </c>
      <c r="J72" s="15">
        <f>MAX(IFERROR(INDEX(CAP_CELULA!$J$6:$J$65,(PARAMETROS!$C$9-1)*15+MATCH(E72,MAO_OBRA!$A$6:$A$20,0)),0),IFERROR(INDEX(USINAGEM!$I$6:$I$29,(PARAMETROS!$C$9-1)*6+MATCH(F72,PARAMETROS!$B$32:$B$37,0)),0))</f>
        <v/>
      </c>
      <c r="K72" s="12">
        <f>IF(AND(C72&lt;&gt;"",J72&gt;0,J72=SUMPRODUCT(MAX(($B$6:$B$205=B72)*($C$6:$C$205=C72)*$J$6:$J$205))),"◄ GARGALO","")</f>
        <v/>
      </c>
      <c r="L72" s="33">
        <f>H72+I72+ROW()/10000000</f>
        <v/>
      </c>
    </row>
    <row r="73">
      <c r="A73" s="11">
        <f>IF(BASE!A73="","",BASE!A73)</f>
        <v/>
      </c>
      <c r="B73" s="11">
        <f>IF(BASE!B73="","",BASE!B73)</f>
        <v/>
      </c>
      <c r="C73" s="11">
        <f>IF(BASE!C73="","",BASE!C73)</f>
        <v/>
      </c>
      <c r="D73" s="11">
        <f>IF(BASE!D73="","",BASE!D73)</f>
        <v/>
      </c>
      <c r="E73" s="11">
        <f>IF(BASE!E73="","",BASE!E73)</f>
        <v/>
      </c>
      <c r="F73" s="11">
        <f>IF(BASE!F73="","",BASE!F73)</f>
        <v/>
      </c>
      <c r="G73" s="28">
        <f>N(BASE!L73)*INDEX(PARAMETROS!$C$25:$F$25,PARAMETROS!$C$9)</f>
        <v/>
      </c>
      <c r="H73" s="14">
        <f>IF(E73="",0,INDEX(PARAMETROS!$C$25:$F$25,PARAMETROS!$C$9)/60*N(BASE!L73)*BASE!P73*(IF(INDEX(PARAMETROS!$C$27:$F$27,PARAMETROS!$C$9)="Real",BASE!N73,N(BASE!H73))*INDEX(PARAMETROS!$C$26:$F$26,PARAMETROS!$C$9)+BASE!O73))</f>
        <v/>
      </c>
      <c r="I73" s="14">
        <f>IF(F73="",0,INDEX(PARAMETROS!$C$25:$F$25,PARAMETROS!$C$9)/60*N(BASE!L73)*(IF(INDEX(PARAMETROS!$C$27:$F$27,PARAMETROS!$C$9)="Real",BASE!N73,N(BASE!H73))*INDEX(PARAMETROS!$C$26:$F$26,PARAMETROS!$C$9)+BASE!O73))</f>
        <v/>
      </c>
      <c r="J73" s="15">
        <f>MAX(IFERROR(INDEX(CAP_CELULA!$J$6:$J$65,(PARAMETROS!$C$9-1)*15+MATCH(E73,MAO_OBRA!$A$6:$A$20,0)),0),IFERROR(INDEX(USINAGEM!$I$6:$I$29,(PARAMETROS!$C$9-1)*6+MATCH(F73,PARAMETROS!$B$32:$B$37,0)),0))</f>
        <v/>
      </c>
      <c r="K73" s="12">
        <f>IF(AND(C73&lt;&gt;"",J73&gt;0,J73=SUMPRODUCT(MAX(($B$6:$B$205=B73)*($C$6:$C$205=C73)*$J$6:$J$205))),"◄ GARGALO","")</f>
        <v/>
      </c>
      <c r="L73" s="33">
        <f>H73+I73+ROW()/10000000</f>
        <v/>
      </c>
    </row>
    <row r="74">
      <c r="A74" s="11">
        <f>IF(BASE!A74="","",BASE!A74)</f>
        <v/>
      </c>
      <c r="B74" s="11">
        <f>IF(BASE!B74="","",BASE!B74)</f>
        <v/>
      </c>
      <c r="C74" s="11">
        <f>IF(BASE!C74="","",BASE!C74)</f>
        <v/>
      </c>
      <c r="D74" s="11">
        <f>IF(BASE!D74="","",BASE!D74)</f>
        <v/>
      </c>
      <c r="E74" s="11">
        <f>IF(BASE!E74="","",BASE!E74)</f>
        <v/>
      </c>
      <c r="F74" s="11">
        <f>IF(BASE!F74="","",BASE!F74)</f>
        <v/>
      </c>
      <c r="G74" s="28">
        <f>N(BASE!L74)*INDEX(PARAMETROS!$C$25:$F$25,PARAMETROS!$C$9)</f>
        <v/>
      </c>
      <c r="H74" s="14">
        <f>IF(E74="",0,INDEX(PARAMETROS!$C$25:$F$25,PARAMETROS!$C$9)/60*N(BASE!L74)*BASE!P74*(IF(INDEX(PARAMETROS!$C$27:$F$27,PARAMETROS!$C$9)="Real",BASE!N74,N(BASE!H74))*INDEX(PARAMETROS!$C$26:$F$26,PARAMETROS!$C$9)+BASE!O74))</f>
        <v/>
      </c>
      <c r="I74" s="14">
        <f>IF(F74="",0,INDEX(PARAMETROS!$C$25:$F$25,PARAMETROS!$C$9)/60*N(BASE!L74)*(IF(INDEX(PARAMETROS!$C$27:$F$27,PARAMETROS!$C$9)="Real",BASE!N74,N(BASE!H74))*INDEX(PARAMETROS!$C$26:$F$26,PARAMETROS!$C$9)+BASE!O74))</f>
        <v/>
      </c>
      <c r="J74" s="15">
        <f>MAX(IFERROR(INDEX(CAP_CELULA!$J$6:$J$65,(PARAMETROS!$C$9-1)*15+MATCH(E74,MAO_OBRA!$A$6:$A$20,0)),0),IFERROR(INDEX(USINAGEM!$I$6:$I$29,(PARAMETROS!$C$9-1)*6+MATCH(F74,PARAMETROS!$B$32:$B$37,0)),0))</f>
        <v/>
      </c>
      <c r="K74" s="12">
        <f>IF(AND(C74&lt;&gt;"",J74&gt;0,J74=SUMPRODUCT(MAX(($B$6:$B$205=B74)*($C$6:$C$205=C74)*$J$6:$J$205))),"◄ GARGALO","")</f>
        <v/>
      </c>
      <c r="L74" s="33">
        <f>H74+I74+ROW()/10000000</f>
        <v/>
      </c>
    </row>
    <row r="75">
      <c r="A75" s="11">
        <f>IF(BASE!A75="","",BASE!A75)</f>
        <v/>
      </c>
      <c r="B75" s="11">
        <f>IF(BASE!B75="","",BASE!B75)</f>
        <v/>
      </c>
      <c r="C75" s="11">
        <f>IF(BASE!C75="","",BASE!C75)</f>
        <v/>
      </c>
      <c r="D75" s="11">
        <f>IF(BASE!D75="","",BASE!D75)</f>
        <v/>
      </c>
      <c r="E75" s="11">
        <f>IF(BASE!E75="","",BASE!E75)</f>
        <v/>
      </c>
      <c r="F75" s="11">
        <f>IF(BASE!F75="","",BASE!F75)</f>
        <v/>
      </c>
      <c r="G75" s="28">
        <f>N(BASE!L75)*INDEX(PARAMETROS!$C$25:$F$25,PARAMETROS!$C$9)</f>
        <v/>
      </c>
      <c r="H75" s="14">
        <f>IF(E75="",0,INDEX(PARAMETROS!$C$25:$F$25,PARAMETROS!$C$9)/60*N(BASE!L75)*BASE!P75*(IF(INDEX(PARAMETROS!$C$27:$F$27,PARAMETROS!$C$9)="Real",BASE!N75,N(BASE!H75))*INDEX(PARAMETROS!$C$26:$F$26,PARAMETROS!$C$9)+BASE!O75))</f>
        <v/>
      </c>
      <c r="I75" s="14">
        <f>IF(F75="",0,INDEX(PARAMETROS!$C$25:$F$25,PARAMETROS!$C$9)/60*N(BASE!L75)*(IF(INDEX(PARAMETROS!$C$27:$F$27,PARAMETROS!$C$9)="Real",BASE!N75,N(BASE!H75))*INDEX(PARAMETROS!$C$26:$F$26,PARAMETROS!$C$9)+BASE!O75))</f>
        <v/>
      </c>
      <c r="J75" s="15">
        <f>MAX(IFERROR(INDEX(CAP_CELULA!$J$6:$J$65,(PARAMETROS!$C$9-1)*15+MATCH(E75,MAO_OBRA!$A$6:$A$20,0)),0),IFERROR(INDEX(USINAGEM!$I$6:$I$29,(PARAMETROS!$C$9-1)*6+MATCH(F75,PARAMETROS!$B$32:$B$37,0)),0))</f>
        <v/>
      </c>
      <c r="K75" s="12">
        <f>IF(AND(C75&lt;&gt;"",J75&gt;0,J75=SUMPRODUCT(MAX(($B$6:$B$205=B75)*($C$6:$C$205=C75)*$J$6:$J$205))),"◄ GARGALO","")</f>
        <v/>
      </c>
      <c r="L75" s="33">
        <f>H75+I75+ROW()/10000000</f>
        <v/>
      </c>
    </row>
    <row r="76">
      <c r="A76" s="11">
        <f>IF(BASE!A76="","",BASE!A76)</f>
        <v/>
      </c>
      <c r="B76" s="11">
        <f>IF(BASE!B76="","",BASE!B76)</f>
        <v/>
      </c>
      <c r="C76" s="11">
        <f>IF(BASE!C76="","",BASE!C76)</f>
        <v/>
      </c>
      <c r="D76" s="11">
        <f>IF(BASE!D76="","",BASE!D76)</f>
        <v/>
      </c>
      <c r="E76" s="11">
        <f>IF(BASE!E76="","",BASE!E76)</f>
        <v/>
      </c>
      <c r="F76" s="11">
        <f>IF(BASE!F76="","",BASE!F76)</f>
        <v/>
      </c>
      <c r="G76" s="28">
        <f>N(BASE!L76)*INDEX(PARAMETROS!$C$25:$F$25,PARAMETROS!$C$9)</f>
        <v/>
      </c>
      <c r="H76" s="14">
        <f>IF(E76="",0,INDEX(PARAMETROS!$C$25:$F$25,PARAMETROS!$C$9)/60*N(BASE!L76)*BASE!P76*(IF(INDEX(PARAMETROS!$C$27:$F$27,PARAMETROS!$C$9)="Real",BASE!N76,N(BASE!H76))*INDEX(PARAMETROS!$C$26:$F$26,PARAMETROS!$C$9)+BASE!O76))</f>
        <v/>
      </c>
      <c r="I76" s="14">
        <f>IF(F76="",0,INDEX(PARAMETROS!$C$25:$F$25,PARAMETROS!$C$9)/60*N(BASE!L76)*(IF(INDEX(PARAMETROS!$C$27:$F$27,PARAMETROS!$C$9)="Real",BASE!N76,N(BASE!H76))*INDEX(PARAMETROS!$C$26:$F$26,PARAMETROS!$C$9)+BASE!O76))</f>
        <v/>
      </c>
      <c r="J76" s="15">
        <f>MAX(IFERROR(INDEX(CAP_CELULA!$J$6:$J$65,(PARAMETROS!$C$9-1)*15+MATCH(E76,MAO_OBRA!$A$6:$A$20,0)),0),IFERROR(INDEX(USINAGEM!$I$6:$I$29,(PARAMETROS!$C$9-1)*6+MATCH(F76,PARAMETROS!$B$32:$B$37,0)),0))</f>
        <v/>
      </c>
      <c r="K76" s="12">
        <f>IF(AND(C76&lt;&gt;"",J76&gt;0,J76=SUMPRODUCT(MAX(($B$6:$B$205=B76)*($C$6:$C$205=C76)*$J$6:$J$205))),"◄ GARGALO","")</f>
        <v/>
      </c>
      <c r="L76" s="33">
        <f>H76+I76+ROW()/10000000</f>
        <v/>
      </c>
    </row>
    <row r="77">
      <c r="A77" s="11">
        <f>IF(BASE!A77="","",BASE!A77)</f>
        <v/>
      </c>
      <c r="B77" s="11">
        <f>IF(BASE!B77="","",BASE!B77)</f>
        <v/>
      </c>
      <c r="C77" s="11">
        <f>IF(BASE!C77="","",BASE!C77)</f>
        <v/>
      </c>
      <c r="D77" s="11">
        <f>IF(BASE!D77="","",BASE!D77)</f>
        <v/>
      </c>
      <c r="E77" s="11">
        <f>IF(BASE!E77="","",BASE!E77)</f>
        <v/>
      </c>
      <c r="F77" s="11">
        <f>IF(BASE!F77="","",BASE!F77)</f>
        <v/>
      </c>
      <c r="G77" s="28">
        <f>N(BASE!L77)*INDEX(PARAMETROS!$C$25:$F$25,PARAMETROS!$C$9)</f>
        <v/>
      </c>
      <c r="H77" s="14">
        <f>IF(E77="",0,INDEX(PARAMETROS!$C$25:$F$25,PARAMETROS!$C$9)/60*N(BASE!L77)*BASE!P77*(IF(INDEX(PARAMETROS!$C$27:$F$27,PARAMETROS!$C$9)="Real",BASE!N77,N(BASE!H77))*INDEX(PARAMETROS!$C$26:$F$26,PARAMETROS!$C$9)+BASE!O77))</f>
        <v/>
      </c>
      <c r="I77" s="14">
        <f>IF(F77="",0,INDEX(PARAMETROS!$C$25:$F$25,PARAMETROS!$C$9)/60*N(BASE!L77)*(IF(INDEX(PARAMETROS!$C$27:$F$27,PARAMETROS!$C$9)="Real",BASE!N77,N(BASE!H77))*INDEX(PARAMETROS!$C$26:$F$26,PARAMETROS!$C$9)+BASE!O77))</f>
        <v/>
      </c>
      <c r="J77" s="15">
        <f>MAX(IFERROR(INDEX(CAP_CELULA!$J$6:$J$65,(PARAMETROS!$C$9-1)*15+MATCH(E77,MAO_OBRA!$A$6:$A$20,0)),0),IFERROR(INDEX(USINAGEM!$I$6:$I$29,(PARAMETROS!$C$9-1)*6+MATCH(F77,PARAMETROS!$B$32:$B$37,0)),0))</f>
        <v/>
      </c>
      <c r="K77" s="12">
        <f>IF(AND(C77&lt;&gt;"",J77&gt;0,J77=SUMPRODUCT(MAX(($B$6:$B$205=B77)*($C$6:$C$205=C77)*$J$6:$J$205))),"◄ GARGALO","")</f>
        <v/>
      </c>
      <c r="L77" s="33">
        <f>H77+I77+ROW()/10000000</f>
        <v/>
      </c>
    </row>
    <row r="78">
      <c r="A78" s="11">
        <f>IF(BASE!A78="","",BASE!A78)</f>
        <v/>
      </c>
      <c r="B78" s="11">
        <f>IF(BASE!B78="","",BASE!B78)</f>
        <v/>
      </c>
      <c r="C78" s="11">
        <f>IF(BASE!C78="","",BASE!C78)</f>
        <v/>
      </c>
      <c r="D78" s="11">
        <f>IF(BASE!D78="","",BASE!D78)</f>
        <v/>
      </c>
      <c r="E78" s="11">
        <f>IF(BASE!E78="","",BASE!E78)</f>
        <v/>
      </c>
      <c r="F78" s="11">
        <f>IF(BASE!F78="","",BASE!F78)</f>
        <v/>
      </c>
      <c r="G78" s="28">
        <f>N(BASE!L78)*INDEX(PARAMETROS!$C$25:$F$25,PARAMETROS!$C$9)</f>
        <v/>
      </c>
      <c r="H78" s="14">
        <f>IF(E78="",0,INDEX(PARAMETROS!$C$25:$F$25,PARAMETROS!$C$9)/60*N(BASE!L78)*BASE!P78*(IF(INDEX(PARAMETROS!$C$27:$F$27,PARAMETROS!$C$9)="Real",BASE!N78,N(BASE!H78))*INDEX(PARAMETROS!$C$26:$F$26,PARAMETROS!$C$9)+BASE!O78))</f>
        <v/>
      </c>
      <c r="I78" s="14">
        <f>IF(F78="",0,INDEX(PARAMETROS!$C$25:$F$25,PARAMETROS!$C$9)/60*N(BASE!L78)*(IF(INDEX(PARAMETROS!$C$27:$F$27,PARAMETROS!$C$9)="Real",BASE!N78,N(BASE!H78))*INDEX(PARAMETROS!$C$26:$F$26,PARAMETROS!$C$9)+BASE!O78))</f>
        <v/>
      </c>
      <c r="J78" s="15">
        <f>MAX(IFERROR(INDEX(CAP_CELULA!$J$6:$J$65,(PARAMETROS!$C$9-1)*15+MATCH(E78,MAO_OBRA!$A$6:$A$20,0)),0),IFERROR(INDEX(USINAGEM!$I$6:$I$29,(PARAMETROS!$C$9-1)*6+MATCH(F78,PARAMETROS!$B$32:$B$37,0)),0))</f>
        <v/>
      </c>
      <c r="K78" s="12">
        <f>IF(AND(C78&lt;&gt;"",J78&gt;0,J78=SUMPRODUCT(MAX(($B$6:$B$205=B78)*($C$6:$C$205=C78)*$J$6:$J$205))),"◄ GARGALO","")</f>
        <v/>
      </c>
      <c r="L78" s="33">
        <f>H78+I78+ROW()/10000000</f>
        <v/>
      </c>
    </row>
    <row r="79">
      <c r="A79" s="11">
        <f>IF(BASE!A79="","",BASE!A79)</f>
        <v/>
      </c>
      <c r="B79" s="11">
        <f>IF(BASE!B79="","",BASE!B79)</f>
        <v/>
      </c>
      <c r="C79" s="11">
        <f>IF(BASE!C79="","",BASE!C79)</f>
        <v/>
      </c>
      <c r="D79" s="11">
        <f>IF(BASE!D79="","",BASE!D79)</f>
        <v/>
      </c>
      <c r="E79" s="11">
        <f>IF(BASE!E79="","",BASE!E79)</f>
        <v/>
      </c>
      <c r="F79" s="11">
        <f>IF(BASE!F79="","",BASE!F79)</f>
        <v/>
      </c>
      <c r="G79" s="28">
        <f>N(BASE!L79)*INDEX(PARAMETROS!$C$25:$F$25,PARAMETROS!$C$9)</f>
        <v/>
      </c>
      <c r="H79" s="14">
        <f>IF(E79="",0,INDEX(PARAMETROS!$C$25:$F$25,PARAMETROS!$C$9)/60*N(BASE!L79)*BASE!P79*(IF(INDEX(PARAMETROS!$C$27:$F$27,PARAMETROS!$C$9)="Real",BASE!N79,N(BASE!H79))*INDEX(PARAMETROS!$C$26:$F$26,PARAMETROS!$C$9)+BASE!O79))</f>
        <v/>
      </c>
      <c r="I79" s="14">
        <f>IF(F79="",0,INDEX(PARAMETROS!$C$25:$F$25,PARAMETROS!$C$9)/60*N(BASE!L79)*(IF(INDEX(PARAMETROS!$C$27:$F$27,PARAMETROS!$C$9)="Real",BASE!N79,N(BASE!H79))*INDEX(PARAMETROS!$C$26:$F$26,PARAMETROS!$C$9)+BASE!O79))</f>
        <v/>
      </c>
      <c r="J79" s="15">
        <f>MAX(IFERROR(INDEX(CAP_CELULA!$J$6:$J$65,(PARAMETROS!$C$9-1)*15+MATCH(E79,MAO_OBRA!$A$6:$A$20,0)),0),IFERROR(INDEX(USINAGEM!$I$6:$I$29,(PARAMETROS!$C$9-1)*6+MATCH(F79,PARAMETROS!$B$32:$B$37,0)),0))</f>
        <v/>
      </c>
      <c r="K79" s="12">
        <f>IF(AND(C79&lt;&gt;"",J79&gt;0,J79=SUMPRODUCT(MAX(($B$6:$B$205=B79)*($C$6:$C$205=C79)*$J$6:$J$205))),"◄ GARGALO","")</f>
        <v/>
      </c>
      <c r="L79" s="33">
        <f>H79+I79+ROW()/10000000</f>
        <v/>
      </c>
    </row>
    <row r="80">
      <c r="A80" s="11">
        <f>IF(BASE!A80="","",BASE!A80)</f>
        <v/>
      </c>
      <c r="B80" s="11">
        <f>IF(BASE!B80="","",BASE!B80)</f>
        <v/>
      </c>
      <c r="C80" s="11">
        <f>IF(BASE!C80="","",BASE!C80)</f>
        <v/>
      </c>
      <c r="D80" s="11">
        <f>IF(BASE!D80="","",BASE!D80)</f>
        <v/>
      </c>
      <c r="E80" s="11">
        <f>IF(BASE!E80="","",BASE!E80)</f>
        <v/>
      </c>
      <c r="F80" s="11">
        <f>IF(BASE!F80="","",BASE!F80)</f>
        <v/>
      </c>
      <c r="G80" s="28">
        <f>N(BASE!L80)*INDEX(PARAMETROS!$C$25:$F$25,PARAMETROS!$C$9)</f>
        <v/>
      </c>
      <c r="H80" s="14">
        <f>IF(E80="",0,INDEX(PARAMETROS!$C$25:$F$25,PARAMETROS!$C$9)/60*N(BASE!L80)*BASE!P80*(IF(INDEX(PARAMETROS!$C$27:$F$27,PARAMETROS!$C$9)="Real",BASE!N80,N(BASE!H80))*INDEX(PARAMETROS!$C$26:$F$26,PARAMETROS!$C$9)+BASE!O80))</f>
        <v/>
      </c>
      <c r="I80" s="14">
        <f>IF(F80="",0,INDEX(PARAMETROS!$C$25:$F$25,PARAMETROS!$C$9)/60*N(BASE!L80)*(IF(INDEX(PARAMETROS!$C$27:$F$27,PARAMETROS!$C$9)="Real",BASE!N80,N(BASE!H80))*INDEX(PARAMETROS!$C$26:$F$26,PARAMETROS!$C$9)+BASE!O80))</f>
        <v/>
      </c>
      <c r="J80" s="15">
        <f>MAX(IFERROR(INDEX(CAP_CELULA!$J$6:$J$65,(PARAMETROS!$C$9-1)*15+MATCH(E80,MAO_OBRA!$A$6:$A$20,0)),0),IFERROR(INDEX(USINAGEM!$I$6:$I$29,(PARAMETROS!$C$9-1)*6+MATCH(F80,PARAMETROS!$B$32:$B$37,0)),0))</f>
        <v/>
      </c>
      <c r="K80" s="12">
        <f>IF(AND(C80&lt;&gt;"",J80&gt;0,J80=SUMPRODUCT(MAX(($B$6:$B$205=B80)*($C$6:$C$205=C80)*$J$6:$J$205))),"◄ GARGALO","")</f>
        <v/>
      </c>
      <c r="L80" s="33">
        <f>H80+I80+ROW()/10000000</f>
        <v/>
      </c>
    </row>
    <row r="81">
      <c r="A81" s="11">
        <f>IF(BASE!A81="","",BASE!A81)</f>
        <v/>
      </c>
      <c r="B81" s="11">
        <f>IF(BASE!B81="","",BASE!B81)</f>
        <v/>
      </c>
      <c r="C81" s="11">
        <f>IF(BASE!C81="","",BASE!C81)</f>
        <v/>
      </c>
      <c r="D81" s="11">
        <f>IF(BASE!D81="","",BASE!D81)</f>
        <v/>
      </c>
      <c r="E81" s="11">
        <f>IF(BASE!E81="","",BASE!E81)</f>
        <v/>
      </c>
      <c r="F81" s="11">
        <f>IF(BASE!F81="","",BASE!F81)</f>
        <v/>
      </c>
      <c r="G81" s="28">
        <f>N(BASE!L81)*INDEX(PARAMETROS!$C$25:$F$25,PARAMETROS!$C$9)</f>
        <v/>
      </c>
      <c r="H81" s="14">
        <f>IF(E81="",0,INDEX(PARAMETROS!$C$25:$F$25,PARAMETROS!$C$9)/60*N(BASE!L81)*BASE!P81*(IF(INDEX(PARAMETROS!$C$27:$F$27,PARAMETROS!$C$9)="Real",BASE!N81,N(BASE!H81))*INDEX(PARAMETROS!$C$26:$F$26,PARAMETROS!$C$9)+BASE!O81))</f>
        <v/>
      </c>
      <c r="I81" s="14">
        <f>IF(F81="",0,INDEX(PARAMETROS!$C$25:$F$25,PARAMETROS!$C$9)/60*N(BASE!L81)*(IF(INDEX(PARAMETROS!$C$27:$F$27,PARAMETROS!$C$9)="Real",BASE!N81,N(BASE!H81))*INDEX(PARAMETROS!$C$26:$F$26,PARAMETROS!$C$9)+BASE!O81))</f>
        <v/>
      </c>
      <c r="J81" s="15">
        <f>MAX(IFERROR(INDEX(CAP_CELULA!$J$6:$J$65,(PARAMETROS!$C$9-1)*15+MATCH(E81,MAO_OBRA!$A$6:$A$20,0)),0),IFERROR(INDEX(USINAGEM!$I$6:$I$29,(PARAMETROS!$C$9-1)*6+MATCH(F81,PARAMETROS!$B$32:$B$37,0)),0))</f>
        <v/>
      </c>
      <c r="K81" s="12">
        <f>IF(AND(C81&lt;&gt;"",J81&gt;0,J81=SUMPRODUCT(MAX(($B$6:$B$205=B81)*($C$6:$C$205=C81)*$J$6:$J$205))),"◄ GARGALO","")</f>
        <v/>
      </c>
      <c r="L81" s="33">
        <f>H81+I81+ROW()/10000000</f>
        <v/>
      </c>
    </row>
    <row r="82">
      <c r="A82" s="11">
        <f>IF(BASE!A82="","",BASE!A82)</f>
        <v/>
      </c>
      <c r="B82" s="11">
        <f>IF(BASE!B82="","",BASE!B82)</f>
        <v/>
      </c>
      <c r="C82" s="11">
        <f>IF(BASE!C82="","",BASE!C82)</f>
        <v/>
      </c>
      <c r="D82" s="11">
        <f>IF(BASE!D82="","",BASE!D82)</f>
        <v/>
      </c>
      <c r="E82" s="11">
        <f>IF(BASE!E82="","",BASE!E82)</f>
        <v/>
      </c>
      <c r="F82" s="11">
        <f>IF(BASE!F82="","",BASE!F82)</f>
        <v/>
      </c>
      <c r="G82" s="28">
        <f>N(BASE!L82)*INDEX(PARAMETROS!$C$25:$F$25,PARAMETROS!$C$9)</f>
        <v/>
      </c>
      <c r="H82" s="14">
        <f>IF(E82="",0,INDEX(PARAMETROS!$C$25:$F$25,PARAMETROS!$C$9)/60*N(BASE!L82)*BASE!P82*(IF(INDEX(PARAMETROS!$C$27:$F$27,PARAMETROS!$C$9)="Real",BASE!N82,N(BASE!H82))*INDEX(PARAMETROS!$C$26:$F$26,PARAMETROS!$C$9)+BASE!O82))</f>
        <v/>
      </c>
      <c r="I82" s="14">
        <f>IF(F82="",0,INDEX(PARAMETROS!$C$25:$F$25,PARAMETROS!$C$9)/60*N(BASE!L82)*(IF(INDEX(PARAMETROS!$C$27:$F$27,PARAMETROS!$C$9)="Real",BASE!N82,N(BASE!H82))*INDEX(PARAMETROS!$C$26:$F$26,PARAMETROS!$C$9)+BASE!O82))</f>
        <v/>
      </c>
      <c r="J82" s="15">
        <f>MAX(IFERROR(INDEX(CAP_CELULA!$J$6:$J$65,(PARAMETROS!$C$9-1)*15+MATCH(E82,MAO_OBRA!$A$6:$A$20,0)),0),IFERROR(INDEX(USINAGEM!$I$6:$I$29,(PARAMETROS!$C$9-1)*6+MATCH(F82,PARAMETROS!$B$32:$B$37,0)),0))</f>
        <v/>
      </c>
      <c r="K82" s="12">
        <f>IF(AND(C82&lt;&gt;"",J82&gt;0,J82=SUMPRODUCT(MAX(($B$6:$B$205=B82)*($C$6:$C$205=C82)*$J$6:$J$205))),"◄ GARGALO","")</f>
        <v/>
      </c>
      <c r="L82" s="33">
        <f>H82+I82+ROW()/10000000</f>
        <v/>
      </c>
    </row>
    <row r="83">
      <c r="A83" s="11">
        <f>IF(BASE!A83="","",BASE!A83)</f>
        <v/>
      </c>
      <c r="B83" s="11">
        <f>IF(BASE!B83="","",BASE!B83)</f>
        <v/>
      </c>
      <c r="C83" s="11">
        <f>IF(BASE!C83="","",BASE!C83)</f>
        <v/>
      </c>
      <c r="D83" s="11">
        <f>IF(BASE!D83="","",BASE!D83)</f>
        <v/>
      </c>
      <c r="E83" s="11">
        <f>IF(BASE!E83="","",BASE!E83)</f>
        <v/>
      </c>
      <c r="F83" s="11">
        <f>IF(BASE!F83="","",BASE!F83)</f>
        <v/>
      </c>
      <c r="G83" s="28">
        <f>N(BASE!L83)*INDEX(PARAMETROS!$C$25:$F$25,PARAMETROS!$C$9)</f>
        <v/>
      </c>
      <c r="H83" s="14">
        <f>IF(E83="",0,INDEX(PARAMETROS!$C$25:$F$25,PARAMETROS!$C$9)/60*N(BASE!L83)*BASE!P83*(IF(INDEX(PARAMETROS!$C$27:$F$27,PARAMETROS!$C$9)="Real",BASE!N83,N(BASE!H83))*INDEX(PARAMETROS!$C$26:$F$26,PARAMETROS!$C$9)+BASE!O83))</f>
        <v/>
      </c>
      <c r="I83" s="14">
        <f>IF(F83="",0,INDEX(PARAMETROS!$C$25:$F$25,PARAMETROS!$C$9)/60*N(BASE!L83)*(IF(INDEX(PARAMETROS!$C$27:$F$27,PARAMETROS!$C$9)="Real",BASE!N83,N(BASE!H83))*INDEX(PARAMETROS!$C$26:$F$26,PARAMETROS!$C$9)+BASE!O83))</f>
        <v/>
      </c>
      <c r="J83" s="15">
        <f>MAX(IFERROR(INDEX(CAP_CELULA!$J$6:$J$65,(PARAMETROS!$C$9-1)*15+MATCH(E83,MAO_OBRA!$A$6:$A$20,0)),0),IFERROR(INDEX(USINAGEM!$I$6:$I$29,(PARAMETROS!$C$9-1)*6+MATCH(F83,PARAMETROS!$B$32:$B$37,0)),0))</f>
        <v/>
      </c>
      <c r="K83" s="12">
        <f>IF(AND(C83&lt;&gt;"",J83&gt;0,J83=SUMPRODUCT(MAX(($B$6:$B$205=B83)*($C$6:$C$205=C83)*$J$6:$J$205))),"◄ GARGALO","")</f>
        <v/>
      </c>
      <c r="L83" s="33">
        <f>H83+I83+ROW()/10000000</f>
        <v/>
      </c>
    </row>
    <row r="84">
      <c r="A84" s="11">
        <f>IF(BASE!A84="","",BASE!A84)</f>
        <v/>
      </c>
      <c r="B84" s="11">
        <f>IF(BASE!B84="","",BASE!B84)</f>
        <v/>
      </c>
      <c r="C84" s="11">
        <f>IF(BASE!C84="","",BASE!C84)</f>
        <v/>
      </c>
      <c r="D84" s="11">
        <f>IF(BASE!D84="","",BASE!D84)</f>
        <v/>
      </c>
      <c r="E84" s="11">
        <f>IF(BASE!E84="","",BASE!E84)</f>
        <v/>
      </c>
      <c r="F84" s="11">
        <f>IF(BASE!F84="","",BASE!F84)</f>
        <v/>
      </c>
      <c r="G84" s="28">
        <f>N(BASE!L84)*INDEX(PARAMETROS!$C$25:$F$25,PARAMETROS!$C$9)</f>
        <v/>
      </c>
      <c r="H84" s="14">
        <f>IF(E84="",0,INDEX(PARAMETROS!$C$25:$F$25,PARAMETROS!$C$9)/60*N(BASE!L84)*BASE!P84*(IF(INDEX(PARAMETROS!$C$27:$F$27,PARAMETROS!$C$9)="Real",BASE!N84,N(BASE!H84))*INDEX(PARAMETROS!$C$26:$F$26,PARAMETROS!$C$9)+BASE!O84))</f>
        <v/>
      </c>
      <c r="I84" s="14">
        <f>IF(F84="",0,INDEX(PARAMETROS!$C$25:$F$25,PARAMETROS!$C$9)/60*N(BASE!L84)*(IF(INDEX(PARAMETROS!$C$27:$F$27,PARAMETROS!$C$9)="Real",BASE!N84,N(BASE!H84))*INDEX(PARAMETROS!$C$26:$F$26,PARAMETROS!$C$9)+BASE!O84))</f>
        <v/>
      </c>
      <c r="J84" s="15">
        <f>MAX(IFERROR(INDEX(CAP_CELULA!$J$6:$J$65,(PARAMETROS!$C$9-1)*15+MATCH(E84,MAO_OBRA!$A$6:$A$20,0)),0),IFERROR(INDEX(USINAGEM!$I$6:$I$29,(PARAMETROS!$C$9-1)*6+MATCH(F84,PARAMETROS!$B$32:$B$37,0)),0))</f>
        <v/>
      </c>
      <c r="K84" s="12">
        <f>IF(AND(C84&lt;&gt;"",J84&gt;0,J84=SUMPRODUCT(MAX(($B$6:$B$205=B84)*($C$6:$C$205=C84)*$J$6:$J$205))),"◄ GARGALO","")</f>
        <v/>
      </c>
      <c r="L84" s="33">
        <f>H84+I84+ROW()/10000000</f>
        <v/>
      </c>
    </row>
    <row r="85">
      <c r="A85" s="11">
        <f>IF(BASE!A85="","",BASE!A85)</f>
        <v/>
      </c>
      <c r="B85" s="11">
        <f>IF(BASE!B85="","",BASE!B85)</f>
        <v/>
      </c>
      <c r="C85" s="11">
        <f>IF(BASE!C85="","",BASE!C85)</f>
        <v/>
      </c>
      <c r="D85" s="11">
        <f>IF(BASE!D85="","",BASE!D85)</f>
        <v/>
      </c>
      <c r="E85" s="11">
        <f>IF(BASE!E85="","",BASE!E85)</f>
        <v/>
      </c>
      <c r="F85" s="11">
        <f>IF(BASE!F85="","",BASE!F85)</f>
        <v/>
      </c>
      <c r="G85" s="28">
        <f>N(BASE!L85)*INDEX(PARAMETROS!$C$25:$F$25,PARAMETROS!$C$9)</f>
        <v/>
      </c>
      <c r="H85" s="14">
        <f>IF(E85="",0,INDEX(PARAMETROS!$C$25:$F$25,PARAMETROS!$C$9)/60*N(BASE!L85)*BASE!P85*(IF(INDEX(PARAMETROS!$C$27:$F$27,PARAMETROS!$C$9)="Real",BASE!N85,N(BASE!H85))*INDEX(PARAMETROS!$C$26:$F$26,PARAMETROS!$C$9)+BASE!O85))</f>
        <v/>
      </c>
      <c r="I85" s="14">
        <f>IF(F85="",0,INDEX(PARAMETROS!$C$25:$F$25,PARAMETROS!$C$9)/60*N(BASE!L85)*(IF(INDEX(PARAMETROS!$C$27:$F$27,PARAMETROS!$C$9)="Real",BASE!N85,N(BASE!H85))*INDEX(PARAMETROS!$C$26:$F$26,PARAMETROS!$C$9)+BASE!O85))</f>
        <v/>
      </c>
      <c r="J85" s="15">
        <f>MAX(IFERROR(INDEX(CAP_CELULA!$J$6:$J$65,(PARAMETROS!$C$9-1)*15+MATCH(E85,MAO_OBRA!$A$6:$A$20,0)),0),IFERROR(INDEX(USINAGEM!$I$6:$I$29,(PARAMETROS!$C$9-1)*6+MATCH(F85,PARAMETROS!$B$32:$B$37,0)),0))</f>
        <v/>
      </c>
      <c r="K85" s="12">
        <f>IF(AND(C85&lt;&gt;"",J85&gt;0,J85=SUMPRODUCT(MAX(($B$6:$B$205=B85)*($C$6:$C$205=C85)*$J$6:$J$205))),"◄ GARGALO","")</f>
        <v/>
      </c>
      <c r="L85" s="33">
        <f>H85+I85+ROW()/10000000</f>
        <v/>
      </c>
    </row>
    <row r="86">
      <c r="A86" s="11">
        <f>IF(BASE!A86="","",BASE!A86)</f>
        <v/>
      </c>
      <c r="B86" s="11">
        <f>IF(BASE!B86="","",BASE!B86)</f>
        <v/>
      </c>
      <c r="C86" s="11">
        <f>IF(BASE!C86="","",BASE!C86)</f>
        <v/>
      </c>
      <c r="D86" s="11">
        <f>IF(BASE!D86="","",BASE!D86)</f>
        <v/>
      </c>
      <c r="E86" s="11">
        <f>IF(BASE!E86="","",BASE!E86)</f>
        <v/>
      </c>
      <c r="F86" s="11">
        <f>IF(BASE!F86="","",BASE!F86)</f>
        <v/>
      </c>
      <c r="G86" s="28">
        <f>N(BASE!L86)*INDEX(PARAMETROS!$C$25:$F$25,PARAMETROS!$C$9)</f>
        <v/>
      </c>
      <c r="H86" s="14">
        <f>IF(E86="",0,INDEX(PARAMETROS!$C$25:$F$25,PARAMETROS!$C$9)/60*N(BASE!L86)*BASE!P86*(IF(INDEX(PARAMETROS!$C$27:$F$27,PARAMETROS!$C$9)="Real",BASE!N86,N(BASE!H86))*INDEX(PARAMETROS!$C$26:$F$26,PARAMETROS!$C$9)+BASE!O86))</f>
        <v/>
      </c>
      <c r="I86" s="14">
        <f>IF(F86="",0,INDEX(PARAMETROS!$C$25:$F$25,PARAMETROS!$C$9)/60*N(BASE!L86)*(IF(INDEX(PARAMETROS!$C$27:$F$27,PARAMETROS!$C$9)="Real",BASE!N86,N(BASE!H86))*INDEX(PARAMETROS!$C$26:$F$26,PARAMETROS!$C$9)+BASE!O86))</f>
        <v/>
      </c>
      <c r="J86" s="15">
        <f>MAX(IFERROR(INDEX(CAP_CELULA!$J$6:$J$65,(PARAMETROS!$C$9-1)*15+MATCH(E86,MAO_OBRA!$A$6:$A$20,0)),0),IFERROR(INDEX(USINAGEM!$I$6:$I$29,(PARAMETROS!$C$9-1)*6+MATCH(F86,PARAMETROS!$B$32:$B$37,0)),0))</f>
        <v/>
      </c>
      <c r="K86" s="12">
        <f>IF(AND(C86&lt;&gt;"",J86&gt;0,J86=SUMPRODUCT(MAX(($B$6:$B$205=B86)*($C$6:$C$205=C86)*$J$6:$J$205))),"◄ GARGALO","")</f>
        <v/>
      </c>
      <c r="L86" s="33">
        <f>H86+I86+ROW()/10000000</f>
        <v/>
      </c>
    </row>
    <row r="87">
      <c r="A87" s="11">
        <f>IF(BASE!A87="","",BASE!A87)</f>
        <v/>
      </c>
      <c r="B87" s="11">
        <f>IF(BASE!B87="","",BASE!B87)</f>
        <v/>
      </c>
      <c r="C87" s="11">
        <f>IF(BASE!C87="","",BASE!C87)</f>
        <v/>
      </c>
      <c r="D87" s="11">
        <f>IF(BASE!D87="","",BASE!D87)</f>
        <v/>
      </c>
      <c r="E87" s="11">
        <f>IF(BASE!E87="","",BASE!E87)</f>
        <v/>
      </c>
      <c r="F87" s="11">
        <f>IF(BASE!F87="","",BASE!F87)</f>
        <v/>
      </c>
      <c r="G87" s="28">
        <f>N(BASE!L87)*INDEX(PARAMETROS!$C$25:$F$25,PARAMETROS!$C$9)</f>
        <v/>
      </c>
      <c r="H87" s="14">
        <f>IF(E87="",0,INDEX(PARAMETROS!$C$25:$F$25,PARAMETROS!$C$9)/60*N(BASE!L87)*BASE!P87*(IF(INDEX(PARAMETROS!$C$27:$F$27,PARAMETROS!$C$9)="Real",BASE!N87,N(BASE!H87))*INDEX(PARAMETROS!$C$26:$F$26,PARAMETROS!$C$9)+BASE!O87))</f>
        <v/>
      </c>
      <c r="I87" s="14">
        <f>IF(F87="",0,INDEX(PARAMETROS!$C$25:$F$25,PARAMETROS!$C$9)/60*N(BASE!L87)*(IF(INDEX(PARAMETROS!$C$27:$F$27,PARAMETROS!$C$9)="Real",BASE!N87,N(BASE!H87))*INDEX(PARAMETROS!$C$26:$F$26,PARAMETROS!$C$9)+BASE!O87))</f>
        <v/>
      </c>
      <c r="J87" s="15">
        <f>MAX(IFERROR(INDEX(CAP_CELULA!$J$6:$J$65,(PARAMETROS!$C$9-1)*15+MATCH(E87,MAO_OBRA!$A$6:$A$20,0)),0),IFERROR(INDEX(USINAGEM!$I$6:$I$29,(PARAMETROS!$C$9-1)*6+MATCH(F87,PARAMETROS!$B$32:$B$37,0)),0))</f>
        <v/>
      </c>
      <c r="K87" s="12">
        <f>IF(AND(C87&lt;&gt;"",J87&gt;0,J87=SUMPRODUCT(MAX(($B$6:$B$205=B87)*($C$6:$C$205=C87)*$J$6:$J$205))),"◄ GARGALO","")</f>
        <v/>
      </c>
      <c r="L87" s="33">
        <f>H87+I87+ROW()/10000000</f>
        <v/>
      </c>
    </row>
    <row r="88">
      <c r="A88" s="11">
        <f>IF(BASE!A88="","",BASE!A88)</f>
        <v/>
      </c>
      <c r="B88" s="11">
        <f>IF(BASE!B88="","",BASE!B88)</f>
        <v/>
      </c>
      <c r="C88" s="11">
        <f>IF(BASE!C88="","",BASE!C88)</f>
        <v/>
      </c>
      <c r="D88" s="11">
        <f>IF(BASE!D88="","",BASE!D88)</f>
        <v/>
      </c>
      <c r="E88" s="11">
        <f>IF(BASE!E88="","",BASE!E88)</f>
        <v/>
      </c>
      <c r="F88" s="11">
        <f>IF(BASE!F88="","",BASE!F88)</f>
        <v/>
      </c>
      <c r="G88" s="28">
        <f>N(BASE!L88)*INDEX(PARAMETROS!$C$25:$F$25,PARAMETROS!$C$9)</f>
        <v/>
      </c>
      <c r="H88" s="14">
        <f>IF(E88="",0,INDEX(PARAMETROS!$C$25:$F$25,PARAMETROS!$C$9)/60*N(BASE!L88)*BASE!P88*(IF(INDEX(PARAMETROS!$C$27:$F$27,PARAMETROS!$C$9)="Real",BASE!N88,N(BASE!H88))*INDEX(PARAMETROS!$C$26:$F$26,PARAMETROS!$C$9)+BASE!O88))</f>
        <v/>
      </c>
      <c r="I88" s="14">
        <f>IF(F88="",0,INDEX(PARAMETROS!$C$25:$F$25,PARAMETROS!$C$9)/60*N(BASE!L88)*(IF(INDEX(PARAMETROS!$C$27:$F$27,PARAMETROS!$C$9)="Real",BASE!N88,N(BASE!H88))*INDEX(PARAMETROS!$C$26:$F$26,PARAMETROS!$C$9)+BASE!O88))</f>
        <v/>
      </c>
      <c r="J88" s="15">
        <f>MAX(IFERROR(INDEX(CAP_CELULA!$J$6:$J$65,(PARAMETROS!$C$9-1)*15+MATCH(E88,MAO_OBRA!$A$6:$A$20,0)),0),IFERROR(INDEX(USINAGEM!$I$6:$I$29,(PARAMETROS!$C$9-1)*6+MATCH(F88,PARAMETROS!$B$32:$B$37,0)),0))</f>
        <v/>
      </c>
      <c r="K88" s="12">
        <f>IF(AND(C88&lt;&gt;"",J88&gt;0,J88=SUMPRODUCT(MAX(($B$6:$B$205=B88)*($C$6:$C$205=C88)*$J$6:$J$205))),"◄ GARGALO","")</f>
        <v/>
      </c>
      <c r="L88" s="33">
        <f>H88+I88+ROW()/10000000</f>
        <v/>
      </c>
    </row>
    <row r="89">
      <c r="A89" s="11">
        <f>IF(BASE!A89="","",BASE!A89)</f>
        <v/>
      </c>
      <c r="B89" s="11">
        <f>IF(BASE!B89="","",BASE!B89)</f>
        <v/>
      </c>
      <c r="C89" s="11">
        <f>IF(BASE!C89="","",BASE!C89)</f>
        <v/>
      </c>
      <c r="D89" s="11">
        <f>IF(BASE!D89="","",BASE!D89)</f>
        <v/>
      </c>
      <c r="E89" s="11">
        <f>IF(BASE!E89="","",BASE!E89)</f>
        <v/>
      </c>
      <c r="F89" s="11">
        <f>IF(BASE!F89="","",BASE!F89)</f>
        <v/>
      </c>
      <c r="G89" s="28">
        <f>N(BASE!L89)*INDEX(PARAMETROS!$C$25:$F$25,PARAMETROS!$C$9)</f>
        <v/>
      </c>
      <c r="H89" s="14">
        <f>IF(E89="",0,INDEX(PARAMETROS!$C$25:$F$25,PARAMETROS!$C$9)/60*N(BASE!L89)*BASE!P89*(IF(INDEX(PARAMETROS!$C$27:$F$27,PARAMETROS!$C$9)="Real",BASE!N89,N(BASE!H89))*INDEX(PARAMETROS!$C$26:$F$26,PARAMETROS!$C$9)+BASE!O89))</f>
        <v/>
      </c>
      <c r="I89" s="14">
        <f>IF(F89="",0,INDEX(PARAMETROS!$C$25:$F$25,PARAMETROS!$C$9)/60*N(BASE!L89)*(IF(INDEX(PARAMETROS!$C$27:$F$27,PARAMETROS!$C$9)="Real",BASE!N89,N(BASE!H89))*INDEX(PARAMETROS!$C$26:$F$26,PARAMETROS!$C$9)+BASE!O89))</f>
        <v/>
      </c>
      <c r="J89" s="15">
        <f>MAX(IFERROR(INDEX(CAP_CELULA!$J$6:$J$65,(PARAMETROS!$C$9-1)*15+MATCH(E89,MAO_OBRA!$A$6:$A$20,0)),0),IFERROR(INDEX(USINAGEM!$I$6:$I$29,(PARAMETROS!$C$9-1)*6+MATCH(F89,PARAMETROS!$B$32:$B$37,0)),0))</f>
        <v/>
      </c>
      <c r="K89" s="12">
        <f>IF(AND(C89&lt;&gt;"",J89&gt;0,J89=SUMPRODUCT(MAX(($B$6:$B$205=B89)*($C$6:$C$205=C89)*$J$6:$J$205))),"◄ GARGALO","")</f>
        <v/>
      </c>
      <c r="L89" s="33">
        <f>H89+I89+ROW()/10000000</f>
        <v/>
      </c>
    </row>
    <row r="90">
      <c r="A90" s="11">
        <f>IF(BASE!A90="","",BASE!A90)</f>
        <v/>
      </c>
      <c r="B90" s="11">
        <f>IF(BASE!B90="","",BASE!B90)</f>
        <v/>
      </c>
      <c r="C90" s="11">
        <f>IF(BASE!C90="","",BASE!C90)</f>
        <v/>
      </c>
      <c r="D90" s="11">
        <f>IF(BASE!D90="","",BASE!D90)</f>
        <v/>
      </c>
      <c r="E90" s="11">
        <f>IF(BASE!E90="","",BASE!E90)</f>
        <v/>
      </c>
      <c r="F90" s="11">
        <f>IF(BASE!F90="","",BASE!F90)</f>
        <v/>
      </c>
      <c r="G90" s="28">
        <f>N(BASE!L90)*INDEX(PARAMETROS!$C$25:$F$25,PARAMETROS!$C$9)</f>
        <v/>
      </c>
      <c r="H90" s="14">
        <f>IF(E90="",0,INDEX(PARAMETROS!$C$25:$F$25,PARAMETROS!$C$9)/60*N(BASE!L90)*BASE!P90*(IF(INDEX(PARAMETROS!$C$27:$F$27,PARAMETROS!$C$9)="Real",BASE!N90,N(BASE!H90))*INDEX(PARAMETROS!$C$26:$F$26,PARAMETROS!$C$9)+BASE!O90))</f>
        <v/>
      </c>
      <c r="I90" s="14">
        <f>IF(F90="",0,INDEX(PARAMETROS!$C$25:$F$25,PARAMETROS!$C$9)/60*N(BASE!L90)*(IF(INDEX(PARAMETROS!$C$27:$F$27,PARAMETROS!$C$9)="Real",BASE!N90,N(BASE!H90))*INDEX(PARAMETROS!$C$26:$F$26,PARAMETROS!$C$9)+BASE!O90))</f>
        <v/>
      </c>
      <c r="J90" s="15">
        <f>MAX(IFERROR(INDEX(CAP_CELULA!$J$6:$J$65,(PARAMETROS!$C$9-1)*15+MATCH(E90,MAO_OBRA!$A$6:$A$20,0)),0),IFERROR(INDEX(USINAGEM!$I$6:$I$29,(PARAMETROS!$C$9-1)*6+MATCH(F90,PARAMETROS!$B$32:$B$37,0)),0))</f>
        <v/>
      </c>
      <c r="K90" s="12">
        <f>IF(AND(C90&lt;&gt;"",J90&gt;0,J90=SUMPRODUCT(MAX(($B$6:$B$205=B90)*($C$6:$C$205=C90)*$J$6:$J$205))),"◄ GARGALO","")</f>
        <v/>
      </c>
      <c r="L90" s="33">
        <f>H90+I90+ROW()/10000000</f>
        <v/>
      </c>
    </row>
    <row r="91">
      <c r="A91" s="11">
        <f>IF(BASE!A91="","",BASE!A91)</f>
        <v/>
      </c>
      <c r="B91" s="11">
        <f>IF(BASE!B91="","",BASE!B91)</f>
        <v/>
      </c>
      <c r="C91" s="11">
        <f>IF(BASE!C91="","",BASE!C91)</f>
        <v/>
      </c>
      <c r="D91" s="11">
        <f>IF(BASE!D91="","",BASE!D91)</f>
        <v/>
      </c>
      <c r="E91" s="11">
        <f>IF(BASE!E91="","",BASE!E91)</f>
        <v/>
      </c>
      <c r="F91" s="11">
        <f>IF(BASE!F91="","",BASE!F91)</f>
        <v/>
      </c>
      <c r="G91" s="28">
        <f>N(BASE!L91)*INDEX(PARAMETROS!$C$25:$F$25,PARAMETROS!$C$9)</f>
        <v/>
      </c>
      <c r="H91" s="14">
        <f>IF(E91="",0,INDEX(PARAMETROS!$C$25:$F$25,PARAMETROS!$C$9)/60*N(BASE!L91)*BASE!P91*(IF(INDEX(PARAMETROS!$C$27:$F$27,PARAMETROS!$C$9)="Real",BASE!N91,N(BASE!H91))*INDEX(PARAMETROS!$C$26:$F$26,PARAMETROS!$C$9)+BASE!O91))</f>
        <v/>
      </c>
      <c r="I91" s="14">
        <f>IF(F91="",0,INDEX(PARAMETROS!$C$25:$F$25,PARAMETROS!$C$9)/60*N(BASE!L91)*(IF(INDEX(PARAMETROS!$C$27:$F$27,PARAMETROS!$C$9)="Real",BASE!N91,N(BASE!H91))*INDEX(PARAMETROS!$C$26:$F$26,PARAMETROS!$C$9)+BASE!O91))</f>
        <v/>
      </c>
      <c r="J91" s="15">
        <f>MAX(IFERROR(INDEX(CAP_CELULA!$J$6:$J$65,(PARAMETROS!$C$9-1)*15+MATCH(E91,MAO_OBRA!$A$6:$A$20,0)),0),IFERROR(INDEX(USINAGEM!$I$6:$I$29,(PARAMETROS!$C$9-1)*6+MATCH(F91,PARAMETROS!$B$32:$B$37,0)),0))</f>
        <v/>
      </c>
      <c r="K91" s="12">
        <f>IF(AND(C91&lt;&gt;"",J91&gt;0,J91=SUMPRODUCT(MAX(($B$6:$B$205=B91)*($C$6:$C$205=C91)*$J$6:$J$205))),"◄ GARGALO","")</f>
        <v/>
      </c>
      <c r="L91" s="33">
        <f>H91+I91+ROW()/10000000</f>
        <v/>
      </c>
    </row>
    <row r="92">
      <c r="A92" s="11">
        <f>IF(BASE!A92="","",BASE!A92)</f>
        <v/>
      </c>
      <c r="B92" s="11">
        <f>IF(BASE!B92="","",BASE!B92)</f>
        <v/>
      </c>
      <c r="C92" s="11">
        <f>IF(BASE!C92="","",BASE!C92)</f>
        <v/>
      </c>
      <c r="D92" s="11">
        <f>IF(BASE!D92="","",BASE!D92)</f>
        <v/>
      </c>
      <c r="E92" s="11">
        <f>IF(BASE!E92="","",BASE!E92)</f>
        <v/>
      </c>
      <c r="F92" s="11">
        <f>IF(BASE!F92="","",BASE!F92)</f>
        <v/>
      </c>
      <c r="G92" s="28">
        <f>N(BASE!L92)*INDEX(PARAMETROS!$C$25:$F$25,PARAMETROS!$C$9)</f>
        <v/>
      </c>
      <c r="H92" s="14">
        <f>IF(E92="",0,INDEX(PARAMETROS!$C$25:$F$25,PARAMETROS!$C$9)/60*N(BASE!L92)*BASE!P92*(IF(INDEX(PARAMETROS!$C$27:$F$27,PARAMETROS!$C$9)="Real",BASE!N92,N(BASE!H92))*INDEX(PARAMETROS!$C$26:$F$26,PARAMETROS!$C$9)+BASE!O92))</f>
        <v/>
      </c>
      <c r="I92" s="14">
        <f>IF(F92="",0,INDEX(PARAMETROS!$C$25:$F$25,PARAMETROS!$C$9)/60*N(BASE!L92)*(IF(INDEX(PARAMETROS!$C$27:$F$27,PARAMETROS!$C$9)="Real",BASE!N92,N(BASE!H92))*INDEX(PARAMETROS!$C$26:$F$26,PARAMETROS!$C$9)+BASE!O92))</f>
        <v/>
      </c>
      <c r="J92" s="15">
        <f>MAX(IFERROR(INDEX(CAP_CELULA!$J$6:$J$65,(PARAMETROS!$C$9-1)*15+MATCH(E92,MAO_OBRA!$A$6:$A$20,0)),0),IFERROR(INDEX(USINAGEM!$I$6:$I$29,(PARAMETROS!$C$9-1)*6+MATCH(F92,PARAMETROS!$B$32:$B$37,0)),0))</f>
        <v/>
      </c>
      <c r="K92" s="12">
        <f>IF(AND(C92&lt;&gt;"",J92&gt;0,J92=SUMPRODUCT(MAX(($B$6:$B$205=B92)*($C$6:$C$205=C92)*$J$6:$J$205))),"◄ GARGALO","")</f>
        <v/>
      </c>
      <c r="L92" s="33">
        <f>H92+I92+ROW()/10000000</f>
        <v/>
      </c>
    </row>
    <row r="93">
      <c r="A93" s="11">
        <f>IF(BASE!A93="","",BASE!A93)</f>
        <v/>
      </c>
      <c r="B93" s="11">
        <f>IF(BASE!B93="","",BASE!B93)</f>
        <v/>
      </c>
      <c r="C93" s="11">
        <f>IF(BASE!C93="","",BASE!C93)</f>
        <v/>
      </c>
      <c r="D93" s="11">
        <f>IF(BASE!D93="","",BASE!D93)</f>
        <v/>
      </c>
      <c r="E93" s="11">
        <f>IF(BASE!E93="","",BASE!E93)</f>
        <v/>
      </c>
      <c r="F93" s="11">
        <f>IF(BASE!F93="","",BASE!F93)</f>
        <v/>
      </c>
      <c r="G93" s="28">
        <f>N(BASE!L93)*INDEX(PARAMETROS!$C$25:$F$25,PARAMETROS!$C$9)</f>
        <v/>
      </c>
      <c r="H93" s="14">
        <f>IF(E93="",0,INDEX(PARAMETROS!$C$25:$F$25,PARAMETROS!$C$9)/60*N(BASE!L93)*BASE!P93*(IF(INDEX(PARAMETROS!$C$27:$F$27,PARAMETROS!$C$9)="Real",BASE!N93,N(BASE!H93))*INDEX(PARAMETROS!$C$26:$F$26,PARAMETROS!$C$9)+BASE!O93))</f>
        <v/>
      </c>
      <c r="I93" s="14">
        <f>IF(F93="",0,INDEX(PARAMETROS!$C$25:$F$25,PARAMETROS!$C$9)/60*N(BASE!L93)*(IF(INDEX(PARAMETROS!$C$27:$F$27,PARAMETROS!$C$9)="Real",BASE!N93,N(BASE!H93))*INDEX(PARAMETROS!$C$26:$F$26,PARAMETROS!$C$9)+BASE!O93))</f>
        <v/>
      </c>
      <c r="J93" s="15">
        <f>MAX(IFERROR(INDEX(CAP_CELULA!$J$6:$J$65,(PARAMETROS!$C$9-1)*15+MATCH(E93,MAO_OBRA!$A$6:$A$20,0)),0),IFERROR(INDEX(USINAGEM!$I$6:$I$29,(PARAMETROS!$C$9-1)*6+MATCH(F93,PARAMETROS!$B$32:$B$37,0)),0))</f>
        <v/>
      </c>
      <c r="K93" s="12">
        <f>IF(AND(C93&lt;&gt;"",J93&gt;0,J93=SUMPRODUCT(MAX(($B$6:$B$205=B93)*($C$6:$C$205=C93)*$J$6:$J$205))),"◄ GARGALO","")</f>
        <v/>
      </c>
      <c r="L93" s="33">
        <f>H93+I93+ROW()/10000000</f>
        <v/>
      </c>
    </row>
    <row r="94">
      <c r="A94" s="11">
        <f>IF(BASE!A94="","",BASE!A94)</f>
        <v/>
      </c>
      <c r="B94" s="11">
        <f>IF(BASE!B94="","",BASE!B94)</f>
        <v/>
      </c>
      <c r="C94" s="11">
        <f>IF(BASE!C94="","",BASE!C94)</f>
        <v/>
      </c>
      <c r="D94" s="11">
        <f>IF(BASE!D94="","",BASE!D94)</f>
        <v/>
      </c>
      <c r="E94" s="11">
        <f>IF(BASE!E94="","",BASE!E94)</f>
        <v/>
      </c>
      <c r="F94" s="11">
        <f>IF(BASE!F94="","",BASE!F94)</f>
        <v/>
      </c>
      <c r="G94" s="28">
        <f>N(BASE!L94)*INDEX(PARAMETROS!$C$25:$F$25,PARAMETROS!$C$9)</f>
        <v/>
      </c>
      <c r="H94" s="14">
        <f>IF(E94="",0,INDEX(PARAMETROS!$C$25:$F$25,PARAMETROS!$C$9)/60*N(BASE!L94)*BASE!P94*(IF(INDEX(PARAMETROS!$C$27:$F$27,PARAMETROS!$C$9)="Real",BASE!N94,N(BASE!H94))*INDEX(PARAMETROS!$C$26:$F$26,PARAMETROS!$C$9)+BASE!O94))</f>
        <v/>
      </c>
      <c r="I94" s="14">
        <f>IF(F94="",0,INDEX(PARAMETROS!$C$25:$F$25,PARAMETROS!$C$9)/60*N(BASE!L94)*(IF(INDEX(PARAMETROS!$C$27:$F$27,PARAMETROS!$C$9)="Real",BASE!N94,N(BASE!H94))*INDEX(PARAMETROS!$C$26:$F$26,PARAMETROS!$C$9)+BASE!O94))</f>
        <v/>
      </c>
      <c r="J94" s="15">
        <f>MAX(IFERROR(INDEX(CAP_CELULA!$J$6:$J$65,(PARAMETROS!$C$9-1)*15+MATCH(E94,MAO_OBRA!$A$6:$A$20,0)),0),IFERROR(INDEX(USINAGEM!$I$6:$I$29,(PARAMETROS!$C$9-1)*6+MATCH(F94,PARAMETROS!$B$32:$B$37,0)),0))</f>
        <v/>
      </c>
      <c r="K94" s="12">
        <f>IF(AND(C94&lt;&gt;"",J94&gt;0,J94=SUMPRODUCT(MAX(($B$6:$B$205=B94)*($C$6:$C$205=C94)*$J$6:$J$205))),"◄ GARGALO","")</f>
        <v/>
      </c>
      <c r="L94" s="33">
        <f>H94+I94+ROW()/10000000</f>
        <v/>
      </c>
    </row>
    <row r="95">
      <c r="A95" s="11">
        <f>IF(BASE!A95="","",BASE!A95)</f>
        <v/>
      </c>
      <c r="B95" s="11">
        <f>IF(BASE!B95="","",BASE!B95)</f>
        <v/>
      </c>
      <c r="C95" s="11">
        <f>IF(BASE!C95="","",BASE!C95)</f>
        <v/>
      </c>
      <c r="D95" s="11">
        <f>IF(BASE!D95="","",BASE!D95)</f>
        <v/>
      </c>
      <c r="E95" s="11">
        <f>IF(BASE!E95="","",BASE!E95)</f>
        <v/>
      </c>
      <c r="F95" s="11">
        <f>IF(BASE!F95="","",BASE!F95)</f>
        <v/>
      </c>
      <c r="G95" s="28">
        <f>N(BASE!L95)*INDEX(PARAMETROS!$C$25:$F$25,PARAMETROS!$C$9)</f>
        <v/>
      </c>
      <c r="H95" s="14">
        <f>IF(E95="",0,INDEX(PARAMETROS!$C$25:$F$25,PARAMETROS!$C$9)/60*N(BASE!L95)*BASE!P95*(IF(INDEX(PARAMETROS!$C$27:$F$27,PARAMETROS!$C$9)="Real",BASE!N95,N(BASE!H95))*INDEX(PARAMETROS!$C$26:$F$26,PARAMETROS!$C$9)+BASE!O95))</f>
        <v/>
      </c>
      <c r="I95" s="14">
        <f>IF(F95="",0,INDEX(PARAMETROS!$C$25:$F$25,PARAMETROS!$C$9)/60*N(BASE!L95)*(IF(INDEX(PARAMETROS!$C$27:$F$27,PARAMETROS!$C$9)="Real",BASE!N95,N(BASE!H95))*INDEX(PARAMETROS!$C$26:$F$26,PARAMETROS!$C$9)+BASE!O95))</f>
        <v/>
      </c>
      <c r="J95" s="15">
        <f>MAX(IFERROR(INDEX(CAP_CELULA!$J$6:$J$65,(PARAMETROS!$C$9-1)*15+MATCH(E95,MAO_OBRA!$A$6:$A$20,0)),0),IFERROR(INDEX(USINAGEM!$I$6:$I$29,(PARAMETROS!$C$9-1)*6+MATCH(F95,PARAMETROS!$B$32:$B$37,0)),0))</f>
        <v/>
      </c>
      <c r="K95" s="12">
        <f>IF(AND(C95&lt;&gt;"",J95&gt;0,J95=SUMPRODUCT(MAX(($B$6:$B$205=B95)*($C$6:$C$205=C95)*$J$6:$J$205))),"◄ GARGALO","")</f>
        <v/>
      </c>
      <c r="L95" s="33">
        <f>H95+I95+ROW()/10000000</f>
        <v/>
      </c>
    </row>
    <row r="96">
      <c r="A96" s="11">
        <f>IF(BASE!A96="","",BASE!A96)</f>
        <v/>
      </c>
      <c r="B96" s="11">
        <f>IF(BASE!B96="","",BASE!B96)</f>
        <v/>
      </c>
      <c r="C96" s="11">
        <f>IF(BASE!C96="","",BASE!C96)</f>
        <v/>
      </c>
      <c r="D96" s="11">
        <f>IF(BASE!D96="","",BASE!D96)</f>
        <v/>
      </c>
      <c r="E96" s="11">
        <f>IF(BASE!E96="","",BASE!E96)</f>
        <v/>
      </c>
      <c r="F96" s="11">
        <f>IF(BASE!F96="","",BASE!F96)</f>
        <v/>
      </c>
      <c r="G96" s="28">
        <f>N(BASE!L96)*INDEX(PARAMETROS!$C$25:$F$25,PARAMETROS!$C$9)</f>
        <v/>
      </c>
      <c r="H96" s="14">
        <f>IF(E96="",0,INDEX(PARAMETROS!$C$25:$F$25,PARAMETROS!$C$9)/60*N(BASE!L96)*BASE!P96*(IF(INDEX(PARAMETROS!$C$27:$F$27,PARAMETROS!$C$9)="Real",BASE!N96,N(BASE!H96))*INDEX(PARAMETROS!$C$26:$F$26,PARAMETROS!$C$9)+BASE!O96))</f>
        <v/>
      </c>
      <c r="I96" s="14">
        <f>IF(F96="",0,INDEX(PARAMETROS!$C$25:$F$25,PARAMETROS!$C$9)/60*N(BASE!L96)*(IF(INDEX(PARAMETROS!$C$27:$F$27,PARAMETROS!$C$9)="Real",BASE!N96,N(BASE!H96))*INDEX(PARAMETROS!$C$26:$F$26,PARAMETROS!$C$9)+BASE!O96))</f>
        <v/>
      </c>
      <c r="J96" s="15">
        <f>MAX(IFERROR(INDEX(CAP_CELULA!$J$6:$J$65,(PARAMETROS!$C$9-1)*15+MATCH(E96,MAO_OBRA!$A$6:$A$20,0)),0),IFERROR(INDEX(USINAGEM!$I$6:$I$29,(PARAMETROS!$C$9-1)*6+MATCH(F96,PARAMETROS!$B$32:$B$37,0)),0))</f>
        <v/>
      </c>
      <c r="K96" s="12">
        <f>IF(AND(C96&lt;&gt;"",J96&gt;0,J96=SUMPRODUCT(MAX(($B$6:$B$205=B96)*($C$6:$C$205=C96)*$J$6:$J$205))),"◄ GARGALO","")</f>
        <v/>
      </c>
      <c r="L96" s="33">
        <f>H96+I96+ROW()/10000000</f>
        <v/>
      </c>
    </row>
    <row r="97">
      <c r="A97" s="11">
        <f>IF(BASE!A97="","",BASE!A97)</f>
        <v/>
      </c>
      <c r="B97" s="11">
        <f>IF(BASE!B97="","",BASE!B97)</f>
        <v/>
      </c>
      <c r="C97" s="11">
        <f>IF(BASE!C97="","",BASE!C97)</f>
        <v/>
      </c>
      <c r="D97" s="11">
        <f>IF(BASE!D97="","",BASE!D97)</f>
        <v/>
      </c>
      <c r="E97" s="11">
        <f>IF(BASE!E97="","",BASE!E97)</f>
        <v/>
      </c>
      <c r="F97" s="11">
        <f>IF(BASE!F97="","",BASE!F97)</f>
        <v/>
      </c>
      <c r="G97" s="28">
        <f>N(BASE!L97)*INDEX(PARAMETROS!$C$25:$F$25,PARAMETROS!$C$9)</f>
        <v/>
      </c>
      <c r="H97" s="14">
        <f>IF(E97="",0,INDEX(PARAMETROS!$C$25:$F$25,PARAMETROS!$C$9)/60*N(BASE!L97)*BASE!P97*(IF(INDEX(PARAMETROS!$C$27:$F$27,PARAMETROS!$C$9)="Real",BASE!N97,N(BASE!H97))*INDEX(PARAMETROS!$C$26:$F$26,PARAMETROS!$C$9)+BASE!O97))</f>
        <v/>
      </c>
      <c r="I97" s="14">
        <f>IF(F97="",0,INDEX(PARAMETROS!$C$25:$F$25,PARAMETROS!$C$9)/60*N(BASE!L97)*(IF(INDEX(PARAMETROS!$C$27:$F$27,PARAMETROS!$C$9)="Real",BASE!N97,N(BASE!H97))*INDEX(PARAMETROS!$C$26:$F$26,PARAMETROS!$C$9)+BASE!O97))</f>
        <v/>
      </c>
      <c r="J97" s="15">
        <f>MAX(IFERROR(INDEX(CAP_CELULA!$J$6:$J$65,(PARAMETROS!$C$9-1)*15+MATCH(E97,MAO_OBRA!$A$6:$A$20,0)),0),IFERROR(INDEX(USINAGEM!$I$6:$I$29,(PARAMETROS!$C$9-1)*6+MATCH(F97,PARAMETROS!$B$32:$B$37,0)),0))</f>
        <v/>
      </c>
      <c r="K97" s="12">
        <f>IF(AND(C97&lt;&gt;"",J97&gt;0,J97=SUMPRODUCT(MAX(($B$6:$B$205=B97)*($C$6:$C$205=C97)*$J$6:$J$205))),"◄ GARGALO","")</f>
        <v/>
      </c>
      <c r="L97" s="33">
        <f>H97+I97+ROW()/10000000</f>
        <v/>
      </c>
    </row>
    <row r="98">
      <c r="A98" s="11">
        <f>IF(BASE!A98="","",BASE!A98)</f>
        <v/>
      </c>
      <c r="B98" s="11">
        <f>IF(BASE!B98="","",BASE!B98)</f>
        <v/>
      </c>
      <c r="C98" s="11">
        <f>IF(BASE!C98="","",BASE!C98)</f>
        <v/>
      </c>
      <c r="D98" s="11">
        <f>IF(BASE!D98="","",BASE!D98)</f>
        <v/>
      </c>
      <c r="E98" s="11">
        <f>IF(BASE!E98="","",BASE!E98)</f>
        <v/>
      </c>
      <c r="F98" s="11">
        <f>IF(BASE!F98="","",BASE!F98)</f>
        <v/>
      </c>
      <c r="G98" s="28">
        <f>N(BASE!L98)*INDEX(PARAMETROS!$C$25:$F$25,PARAMETROS!$C$9)</f>
        <v/>
      </c>
      <c r="H98" s="14">
        <f>IF(E98="",0,INDEX(PARAMETROS!$C$25:$F$25,PARAMETROS!$C$9)/60*N(BASE!L98)*BASE!P98*(IF(INDEX(PARAMETROS!$C$27:$F$27,PARAMETROS!$C$9)="Real",BASE!N98,N(BASE!H98))*INDEX(PARAMETROS!$C$26:$F$26,PARAMETROS!$C$9)+BASE!O98))</f>
        <v/>
      </c>
      <c r="I98" s="14">
        <f>IF(F98="",0,INDEX(PARAMETROS!$C$25:$F$25,PARAMETROS!$C$9)/60*N(BASE!L98)*(IF(INDEX(PARAMETROS!$C$27:$F$27,PARAMETROS!$C$9)="Real",BASE!N98,N(BASE!H98))*INDEX(PARAMETROS!$C$26:$F$26,PARAMETROS!$C$9)+BASE!O98))</f>
        <v/>
      </c>
      <c r="J98" s="15">
        <f>MAX(IFERROR(INDEX(CAP_CELULA!$J$6:$J$65,(PARAMETROS!$C$9-1)*15+MATCH(E98,MAO_OBRA!$A$6:$A$20,0)),0),IFERROR(INDEX(USINAGEM!$I$6:$I$29,(PARAMETROS!$C$9-1)*6+MATCH(F98,PARAMETROS!$B$32:$B$37,0)),0))</f>
        <v/>
      </c>
      <c r="K98" s="12">
        <f>IF(AND(C98&lt;&gt;"",J98&gt;0,J98=SUMPRODUCT(MAX(($B$6:$B$205=B98)*($C$6:$C$205=C98)*$J$6:$J$205))),"◄ GARGALO","")</f>
        <v/>
      </c>
      <c r="L98" s="33">
        <f>H98+I98+ROW()/10000000</f>
        <v/>
      </c>
    </row>
    <row r="99">
      <c r="A99" s="11">
        <f>IF(BASE!A99="","",BASE!A99)</f>
        <v/>
      </c>
      <c r="B99" s="11">
        <f>IF(BASE!B99="","",BASE!B99)</f>
        <v/>
      </c>
      <c r="C99" s="11">
        <f>IF(BASE!C99="","",BASE!C99)</f>
        <v/>
      </c>
      <c r="D99" s="11">
        <f>IF(BASE!D99="","",BASE!D99)</f>
        <v/>
      </c>
      <c r="E99" s="11">
        <f>IF(BASE!E99="","",BASE!E99)</f>
        <v/>
      </c>
      <c r="F99" s="11">
        <f>IF(BASE!F99="","",BASE!F99)</f>
        <v/>
      </c>
      <c r="G99" s="28">
        <f>N(BASE!L99)*INDEX(PARAMETROS!$C$25:$F$25,PARAMETROS!$C$9)</f>
        <v/>
      </c>
      <c r="H99" s="14">
        <f>IF(E99="",0,INDEX(PARAMETROS!$C$25:$F$25,PARAMETROS!$C$9)/60*N(BASE!L99)*BASE!P99*(IF(INDEX(PARAMETROS!$C$27:$F$27,PARAMETROS!$C$9)="Real",BASE!N99,N(BASE!H99))*INDEX(PARAMETROS!$C$26:$F$26,PARAMETROS!$C$9)+BASE!O99))</f>
        <v/>
      </c>
      <c r="I99" s="14">
        <f>IF(F99="",0,INDEX(PARAMETROS!$C$25:$F$25,PARAMETROS!$C$9)/60*N(BASE!L99)*(IF(INDEX(PARAMETROS!$C$27:$F$27,PARAMETROS!$C$9)="Real",BASE!N99,N(BASE!H99))*INDEX(PARAMETROS!$C$26:$F$26,PARAMETROS!$C$9)+BASE!O99))</f>
        <v/>
      </c>
      <c r="J99" s="15">
        <f>MAX(IFERROR(INDEX(CAP_CELULA!$J$6:$J$65,(PARAMETROS!$C$9-1)*15+MATCH(E99,MAO_OBRA!$A$6:$A$20,0)),0),IFERROR(INDEX(USINAGEM!$I$6:$I$29,(PARAMETROS!$C$9-1)*6+MATCH(F99,PARAMETROS!$B$32:$B$37,0)),0))</f>
        <v/>
      </c>
      <c r="K99" s="12">
        <f>IF(AND(C99&lt;&gt;"",J99&gt;0,J99=SUMPRODUCT(MAX(($B$6:$B$205=B99)*($C$6:$C$205=C99)*$J$6:$J$205))),"◄ GARGALO","")</f>
        <v/>
      </c>
      <c r="L99" s="33">
        <f>H99+I99+ROW()/10000000</f>
        <v/>
      </c>
    </row>
    <row r="100">
      <c r="A100" s="11">
        <f>IF(BASE!A100="","",BASE!A100)</f>
        <v/>
      </c>
      <c r="B100" s="11">
        <f>IF(BASE!B100="","",BASE!B100)</f>
        <v/>
      </c>
      <c r="C100" s="11">
        <f>IF(BASE!C100="","",BASE!C100)</f>
        <v/>
      </c>
      <c r="D100" s="11">
        <f>IF(BASE!D100="","",BASE!D100)</f>
        <v/>
      </c>
      <c r="E100" s="11">
        <f>IF(BASE!E100="","",BASE!E100)</f>
        <v/>
      </c>
      <c r="F100" s="11">
        <f>IF(BASE!F100="","",BASE!F100)</f>
        <v/>
      </c>
      <c r="G100" s="28">
        <f>N(BASE!L100)*INDEX(PARAMETROS!$C$25:$F$25,PARAMETROS!$C$9)</f>
        <v/>
      </c>
      <c r="H100" s="14">
        <f>IF(E100="",0,INDEX(PARAMETROS!$C$25:$F$25,PARAMETROS!$C$9)/60*N(BASE!L100)*BASE!P100*(IF(INDEX(PARAMETROS!$C$27:$F$27,PARAMETROS!$C$9)="Real",BASE!N100,N(BASE!H100))*INDEX(PARAMETROS!$C$26:$F$26,PARAMETROS!$C$9)+BASE!O100))</f>
        <v/>
      </c>
      <c r="I100" s="14">
        <f>IF(F100="",0,INDEX(PARAMETROS!$C$25:$F$25,PARAMETROS!$C$9)/60*N(BASE!L100)*(IF(INDEX(PARAMETROS!$C$27:$F$27,PARAMETROS!$C$9)="Real",BASE!N100,N(BASE!H100))*INDEX(PARAMETROS!$C$26:$F$26,PARAMETROS!$C$9)+BASE!O100))</f>
        <v/>
      </c>
      <c r="J100" s="15">
        <f>MAX(IFERROR(INDEX(CAP_CELULA!$J$6:$J$65,(PARAMETROS!$C$9-1)*15+MATCH(E100,MAO_OBRA!$A$6:$A$20,0)),0),IFERROR(INDEX(USINAGEM!$I$6:$I$29,(PARAMETROS!$C$9-1)*6+MATCH(F100,PARAMETROS!$B$32:$B$37,0)),0))</f>
        <v/>
      </c>
      <c r="K100" s="12">
        <f>IF(AND(C100&lt;&gt;"",J100&gt;0,J100=SUMPRODUCT(MAX(($B$6:$B$205=B100)*($C$6:$C$205=C100)*$J$6:$J$205))),"◄ GARGALO","")</f>
        <v/>
      </c>
      <c r="L100" s="33">
        <f>H100+I100+ROW()/10000000</f>
        <v/>
      </c>
    </row>
    <row r="101">
      <c r="A101" s="11">
        <f>IF(BASE!A101="","",BASE!A101)</f>
        <v/>
      </c>
      <c r="B101" s="11">
        <f>IF(BASE!B101="","",BASE!B101)</f>
        <v/>
      </c>
      <c r="C101" s="11">
        <f>IF(BASE!C101="","",BASE!C101)</f>
        <v/>
      </c>
      <c r="D101" s="11">
        <f>IF(BASE!D101="","",BASE!D101)</f>
        <v/>
      </c>
      <c r="E101" s="11">
        <f>IF(BASE!E101="","",BASE!E101)</f>
        <v/>
      </c>
      <c r="F101" s="11">
        <f>IF(BASE!F101="","",BASE!F101)</f>
        <v/>
      </c>
      <c r="G101" s="28">
        <f>N(BASE!L101)*INDEX(PARAMETROS!$C$25:$F$25,PARAMETROS!$C$9)</f>
        <v/>
      </c>
      <c r="H101" s="14">
        <f>IF(E101="",0,INDEX(PARAMETROS!$C$25:$F$25,PARAMETROS!$C$9)/60*N(BASE!L101)*BASE!P101*(IF(INDEX(PARAMETROS!$C$27:$F$27,PARAMETROS!$C$9)="Real",BASE!N101,N(BASE!H101))*INDEX(PARAMETROS!$C$26:$F$26,PARAMETROS!$C$9)+BASE!O101))</f>
        <v/>
      </c>
      <c r="I101" s="14">
        <f>IF(F101="",0,INDEX(PARAMETROS!$C$25:$F$25,PARAMETROS!$C$9)/60*N(BASE!L101)*(IF(INDEX(PARAMETROS!$C$27:$F$27,PARAMETROS!$C$9)="Real",BASE!N101,N(BASE!H101))*INDEX(PARAMETROS!$C$26:$F$26,PARAMETROS!$C$9)+BASE!O101))</f>
        <v/>
      </c>
      <c r="J101" s="15">
        <f>MAX(IFERROR(INDEX(CAP_CELULA!$J$6:$J$65,(PARAMETROS!$C$9-1)*15+MATCH(E101,MAO_OBRA!$A$6:$A$20,0)),0),IFERROR(INDEX(USINAGEM!$I$6:$I$29,(PARAMETROS!$C$9-1)*6+MATCH(F101,PARAMETROS!$B$32:$B$37,0)),0))</f>
        <v/>
      </c>
      <c r="K101" s="12">
        <f>IF(AND(C101&lt;&gt;"",J101&gt;0,J101=SUMPRODUCT(MAX(($B$6:$B$205=B101)*($C$6:$C$205=C101)*$J$6:$J$205))),"◄ GARGALO","")</f>
        <v/>
      </c>
      <c r="L101" s="33">
        <f>H101+I101+ROW()/10000000</f>
        <v/>
      </c>
    </row>
    <row r="102">
      <c r="A102" s="11">
        <f>IF(BASE!A102="","",BASE!A102)</f>
        <v/>
      </c>
      <c r="B102" s="11">
        <f>IF(BASE!B102="","",BASE!B102)</f>
        <v/>
      </c>
      <c r="C102" s="11">
        <f>IF(BASE!C102="","",BASE!C102)</f>
        <v/>
      </c>
      <c r="D102" s="11">
        <f>IF(BASE!D102="","",BASE!D102)</f>
        <v/>
      </c>
      <c r="E102" s="11">
        <f>IF(BASE!E102="","",BASE!E102)</f>
        <v/>
      </c>
      <c r="F102" s="11">
        <f>IF(BASE!F102="","",BASE!F102)</f>
        <v/>
      </c>
      <c r="G102" s="28">
        <f>N(BASE!L102)*INDEX(PARAMETROS!$C$25:$F$25,PARAMETROS!$C$9)</f>
        <v/>
      </c>
      <c r="H102" s="14">
        <f>IF(E102="",0,INDEX(PARAMETROS!$C$25:$F$25,PARAMETROS!$C$9)/60*N(BASE!L102)*BASE!P102*(IF(INDEX(PARAMETROS!$C$27:$F$27,PARAMETROS!$C$9)="Real",BASE!N102,N(BASE!H102))*INDEX(PARAMETROS!$C$26:$F$26,PARAMETROS!$C$9)+BASE!O102))</f>
        <v/>
      </c>
      <c r="I102" s="14">
        <f>IF(F102="",0,INDEX(PARAMETROS!$C$25:$F$25,PARAMETROS!$C$9)/60*N(BASE!L102)*(IF(INDEX(PARAMETROS!$C$27:$F$27,PARAMETROS!$C$9)="Real",BASE!N102,N(BASE!H102))*INDEX(PARAMETROS!$C$26:$F$26,PARAMETROS!$C$9)+BASE!O102))</f>
        <v/>
      </c>
      <c r="J102" s="15">
        <f>MAX(IFERROR(INDEX(CAP_CELULA!$J$6:$J$65,(PARAMETROS!$C$9-1)*15+MATCH(E102,MAO_OBRA!$A$6:$A$20,0)),0),IFERROR(INDEX(USINAGEM!$I$6:$I$29,(PARAMETROS!$C$9-1)*6+MATCH(F102,PARAMETROS!$B$32:$B$37,0)),0))</f>
        <v/>
      </c>
      <c r="K102" s="12">
        <f>IF(AND(C102&lt;&gt;"",J102&gt;0,J102=SUMPRODUCT(MAX(($B$6:$B$205=B102)*($C$6:$C$205=C102)*$J$6:$J$205))),"◄ GARGALO","")</f>
        <v/>
      </c>
      <c r="L102" s="33">
        <f>H102+I102+ROW()/10000000</f>
        <v/>
      </c>
    </row>
    <row r="103">
      <c r="A103" s="11">
        <f>IF(BASE!A103="","",BASE!A103)</f>
        <v/>
      </c>
      <c r="B103" s="11">
        <f>IF(BASE!B103="","",BASE!B103)</f>
        <v/>
      </c>
      <c r="C103" s="11">
        <f>IF(BASE!C103="","",BASE!C103)</f>
        <v/>
      </c>
      <c r="D103" s="11">
        <f>IF(BASE!D103="","",BASE!D103)</f>
        <v/>
      </c>
      <c r="E103" s="11">
        <f>IF(BASE!E103="","",BASE!E103)</f>
        <v/>
      </c>
      <c r="F103" s="11">
        <f>IF(BASE!F103="","",BASE!F103)</f>
        <v/>
      </c>
      <c r="G103" s="28">
        <f>N(BASE!L103)*INDEX(PARAMETROS!$C$25:$F$25,PARAMETROS!$C$9)</f>
        <v/>
      </c>
      <c r="H103" s="14">
        <f>IF(E103="",0,INDEX(PARAMETROS!$C$25:$F$25,PARAMETROS!$C$9)/60*N(BASE!L103)*BASE!P103*(IF(INDEX(PARAMETROS!$C$27:$F$27,PARAMETROS!$C$9)="Real",BASE!N103,N(BASE!H103))*INDEX(PARAMETROS!$C$26:$F$26,PARAMETROS!$C$9)+BASE!O103))</f>
        <v/>
      </c>
      <c r="I103" s="14">
        <f>IF(F103="",0,INDEX(PARAMETROS!$C$25:$F$25,PARAMETROS!$C$9)/60*N(BASE!L103)*(IF(INDEX(PARAMETROS!$C$27:$F$27,PARAMETROS!$C$9)="Real",BASE!N103,N(BASE!H103))*INDEX(PARAMETROS!$C$26:$F$26,PARAMETROS!$C$9)+BASE!O103))</f>
        <v/>
      </c>
      <c r="J103" s="15">
        <f>MAX(IFERROR(INDEX(CAP_CELULA!$J$6:$J$65,(PARAMETROS!$C$9-1)*15+MATCH(E103,MAO_OBRA!$A$6:$A$20,0)),0),IFERROR(INDEX(USINAGEM!$I$6:$I$29,(PARAMETROS!$C$9-1)*6+MATCH(F103,PARAMETROS!$B$32:$B$37,0)),0))</f>
        <v/>
      </c>
      <c r="K103" s="12">
        <f>IF(AND(C103&lt;&gt;"",J103&gt;0,J103=SUMPRODUCT(MAX(($B$6:$B$205=B103)*($C$6:$C$205=C103)*$J$6:$J$205))),"◄ GARGALO","")</f>
        <v/>
      </c>
      <c r="L103" s="33">
        <f>H103+I103+ROW()/10000000</f>
        <v/>
      </c>
    </row>
    <row r="104">
      <c r="A104" s="11">
        <f>IF(BASE!A104="","",BASE!A104)</f>
        <v/>
      </c>
      <c r="B104" s="11">
        <f>IF(BASE!B104="","",BASE!B104)</f>
        <v/>
      </c>
      <c r="C104" s="11">
        <f>IF(BASE!C104="","",BASE!C104)</f>
        <v/>
      </c>
      <c r="D104" s="11">
        <f>IF(BASE!D104="","",BASE!D104)</f>
        <v/>
      </c>
      <c r="E104" s="11">
        <f>IF(BASE!E104="","",BASE!E104)</f>
        <v/>
      </c>
      <c r="F104" s="11">
        <f>IF(BASE!F104="","",BASE!F104)</f>
        <v/>
      </c>
      <c r="G104" s="28">
        <f>N(BASE!L104)*INDEX(PARAMETROS!$C$25:$F$25,PARAMETROS!$C$9)</f>
        <v/>
      </c>
      <c r="H104" s="14">
        <f>IF(E104="",0,INDEX(PARAMETROS!$C$25:$F$25,PARAMETROS!$C$9)/60*N(BASE!L104)*BASE!P104*(IF(INDEX(PARAMETROS!$C$27:$F$27,PARAMETROS!$C$9)="Real",BASE!N104,N(BASE!H104))*INDEX(PARAMETROS!$C$26:$F$26,PARAMETROS!$C$9)+BASE!O104))</f>
        <v/>
      </c>
      <c r="I104" s="14">
        <f>IF(F104="",0,INDEX(PARAMETROS!$C$25:$F$25,PARAMETROS!$C$9)/60*N(BASE!L104)*(IF(INDEX(PARAMETROS!$C$27:$F$27,PARAMETROS!$C$9)="Real",BASE!N104,N(BASE!H104))*INDEX(PARAMETROS!$C$26:$F$26,PARAMETROS!$C$9)+BASE!O104))</f>
        <v/>
      </c>
      <c r="J104" s="15">
        <f>MAX(IFERROR(INDEX(CAP_CELULA!$J$6:$J$65,(PARAMETROS!$C$9-1)*15+MATCH(E104,MAO_OBRA!$A$6:$A$20,0)),0),IFERROR(INDEX(USINAGEM!$I$6:$I$29,(PARAMETROS!$C$9-1)*6+MATCH(F104,PARAMETROS!$B$32:$B$37,0)),0))</f>
        <v/>
      </c>
      <c r="K104" s="12">
        <f>IF(AND(C104&lt;&gt;"",J104&gt;0,J104=SUMPRODUCT(MAX(($B$6:$B$205=B104)*($C$6:$C$205=C104)*$J$6:$J$205))),"◄ GARGALO","")</f>
        <v/>
      </c>
      <c r="L104" s="33">
        <f>H104+I104+ROW()/10000000</f>
        <v/>
      </c>
    </row>
    <row r="105">
      <c r="A105" s="11">
        <f>IF(BASE!A105="","",BASE!A105)</f>
        <v/>
      </c>
      <c r="B105" s="11">
        <f>IF(BASE!B105="","",BASE!B105)</f>
        <v/>
      </c>
      <c r="C105" s="11">
        <f>IF(BASE!C105="","",BASE!C105)</f>
        <v/>
      </c>
      <c r="D105" s="11">
        <f>IF(BASE!D105="","",BASE!D105)</f>
        <v/>
      </c>
      <c r="E105" s="11">
        <f>IF(BASE!E105="","",BASE!E105)</f>
        <v/>
      </c>
      <c r="F105" s="11">
        <f>IF(BASE!F105="","",BASE!F105)</f>
        <v/>
      </c>
      <c r="G105" s="28">
        <f>N(BASE!L105)*INDEX(PARAMETROS!$C$25:$F$25,PARAMETROS!$C$9)</f>
        <v/>
      </c>
      <c r="H105" s="14">
        <f>IF(E105="",0,INDEX(PARAMETROS!$C$25:$F$25,PARAMETROS!$C$9)/60*N(BASE!L105)*BASE!P105*(IF(INDEX(PARAMETROS!$C$27:$F$27,PARAMETROS!$C$9)="Real",BASE!N105,N(BASE!H105))*INDEX(PARAMETROS!$C$26:$F$26,PARAMETROS!$C$9)+BASE!O105))</f>
        <v/>
      </c>
      <c r="I105" s="14">
        <f>IF(F105="",0,INDEX(PARAMETROS!$C$25:$F$25,PARAMETROS!$C$9)/60*N(BASE!L105)*(IF(INDEX(PARAMETROS!$C$27:$F$27,PARAMETROS!$C$9)="Real",BASE!N105,N(BASE!H105))*INDEX(PARAMETROS!$C$26:$F$26,PARAMETROS!$C$9)+BASE!O105))</f>
        <v/>
      </c>
      <c r="J105" s="15">
        <f>MAX(IFERROR(INDEX(CAP_CELULA!$J$6:$J$65,(PARAMETROS!$C$9-1)*15+MATCH(E105,MAO_OBRA!$A$6:$A$20,0)),0),IFERROR(INDEX(USINAGEM!$I$6:$I$29,(PARAMETROS!$C$9-1)*6+MATCH(F105,PARAMETROS!$B$32:$B$37,0)),0))</f>
        <v/>
      </c>
      <c r="K105" s="12">
        <f>IF(AND(C105&lt;&gt;"",J105&gt;0,J105=SUMPRODUCT(MAX(($B$6:$B$205=B105)*($C$6:$C$205=C105)*$J$6:$J$205))),"◄ GARGALO","")</f>
        <v/>
      </c>
      <c r="L105" s="33">
        <f>H105+I105+ROW()/10000000</f>
        <v/>
      </c>
    </row>
    <row r="106">
      <c r="A106" s="11">
        <f>IF(BASE!A106="","",BASE!A106)</f>
        <v/>
      </c>
      <c r="B106" s="11">
        <f>IF(BASE!B106="","",BASE!B106)</f>
        <v/>
      </c>
      <c r="C106" s="11">
        <f>IF(BASE!C106="","",BASE!C106)</f>
        <v/>
      </c>
      <c r="D106" s="11">
        <f>IF(BASE!D106="","",BASE!D106)</f>
        <v/>
      </c>
      <c r="E106" s="11">
        <f>IF(BASE!E106="","",BASE!E106)</f>
        <v/>
      </c>
      <c r="F106" s="11">
        <f>IF(BASE!F106="","",BASE!F106)</f>
        <v/>
      </c>
      <c r="G106" s="28">
        <f>N(BASE!L106)*INDEX(PARAMETROS!$C$25:$F$25,PARAMETROS!$C$9)</f>
        <v/>
      </c>
      <c r="H106" s="14">
        <f>IF(E106="",0,INDEX(PARAMETROS!$C$25:$F$25,PARAMETROS!$C$9)/60*N(BASE!L106)*BASE!P106*(IF(INDEX(PARAMETROS!$C$27:$F$27,PARAMETROS!$C$9)="Real",BASE!N106,N(BASE!H106))*INDEX(PARAMETROS!$C$26:$F$26,PARAMETROS!$C$9)+BASE!O106))</f>
        <v/>
      </c>
      <c r="I106" s="14">
        <f>IF(F106="",0,INDEX(PARAMETROS!$C$25:$F$25,PARAMETROS!$C$9)/60*N(BASE!L106)*(IF(INDEX(PARAMETROS!$C$27:$F$27,PARAMETROS!$C$9)="Real",BASE!N106,N(BASE!H106))*INDEX(PARAMETROS!$C$26:$F$26,PARAMETROS!$C$9)+BASE!O106))</f>
        <v/>
      </c>
      <c r="J106" s="15">
        <f>MAX(IFERROR(INDEX(CAP_CELULA!$J$6:$J$65,(PARAMETROS!$C$9-1)*15+MATCH(E106,MAO_OBRA!$A$6:$A$20,0)),0),IFERROR(INDEX(USINAGEM!$I$6:$I$29,(PARAMETROS!$C$9-1)*6+MATCH(F106,PARAMETROS!$B$32:$B$37,0)),0))</f>
        <v/>
      </c>
      <c r="K106" s="12">
        <f>IF(AND(C106&lt;&gt;"",J106&gt;0,J106=SUMPRODUCT(MAX(($B$6:$B$205=B106)*($C$6:$C$205=C106)*$J$6:$J$205))),"◄ GARGALO","")</f>
        <v/>
      </c>
      <c r="L106" s="33">
        <f>H106+I106+ROW()/10000000</f>
        <v/>
      </c>
    </row>
    <row r="107">
      <c r="A107" s="11">
        <f>IF(BASE!A107="","",BASE!A107)</f>
        <v/>
      </c>
      <c r="B107" s="11">
        <f>IF(BASE!B107="","",BASE!B107)</f>
        <v/>
      </c>
      <c r="C107" s="11">
        <f>IF(BASE!C107="","",BASE!C107)</f>
        <v/>
      </c>
      <c r="D107" s="11">
        <f>IF(BASE!D107="","",BASE!D107)</f>
        <v/>
      </c>
      <c r="E107" s="11">
        <f>IF(BASE!E107="","",BASE!E107)</f>
        <v/>
      </c>
      <c r="F107" s="11">
        <f>IF(BASE!F107="","",BASE!F107)</f>
        <v/>
      </c>
      <c r="G107" s="28">
        <f>N(BASE!L107)*INDEX(PARAMETROS!$C$25:$F$25,PARAMETROS!$C$9)</f>
        <v/>
      </c>
      <c r="H107" s="14">
        <f>IF(E107="",0,INDEX(PARAMETROS!$C$25:$F$25,PARAMETROS!$C$9)/60*N(BASE!L107)*BASE!P107*(IF(INDEX(PARAMETROS!$C$27:$F$27,PARAMETROS!$C$9)="Real",BASE!N107,N(BASE!H107))*INDEX(PARAMETROS!$C$26:$F$26,PARAMETROS!$C$9)+BASE!O107))</f>
        <v/>
      </c>
      <c r="I107" s="14">
        <f>IF(F107="",0,INDEX(PARAMETROS!$C$25:$F$25,PARAMETROS!$C$9)/60*N(BASE!L107)*(IF(INDEX(PARAMETROS!$C$27:$F$27,PARAMETROS!$C$9)="Real",BASE!N107,N(BASE!H107))*INDEX(PARAMETROS!$C$26:$F$26,PARAMETROS!$C$9)+BASE!O107))</f>
        <v/>
      </c>
      <c r="J107" s="15">
        <f>MAX(IFERROR(INDEX(CAP_CELULA!$J$6:$J$65,(PARAMETROS!$C$9-1)*15+MATCH(E107,MAO_OBRA!$A$6:$A$20,0)),0),IFERROR(INDEX(USINAGEM!$I$6:$I$29,(PARAMETROS!$C$9-1)*6+MATCH(F107,PARAMETROS!$B$32:$B$37,0)),0))</f>
        <v/>
      </c>
      <c r="K107" s="12">
        <f>IF(AND(C107&lt;&gt;"",J107&gt;0,J107=SUMPRODUCT(MAX(($B$6:$B$205=B107)*($C$6:$C$205=C107)*$J$6:$J$205))),"◄ GARGALO","")</f>
        <v/>
      </c>
      <c r="L107" s="33">
        <f>H107+I107+ROW()/10000000</f>
        <v/>
      </c>
    </row>
    <row r="108">
      <c r="A108" s="11">
        <f>IF(BASE!A108="","",BASE!A108)</f>
        <v/>
      </c>
      <c r="B108" s="11">
        <f>IF(BASE!B108="","",BASE!B108)</f>
        <v/>
      </c>
      <c r="C108" s="11">
        <f>IF(BASE!C108="","",BASE!C108)</f>
        <v/>
      </c>
      <c r="D108" s="11">
        <f>IF(BASE!D108="","",BASE!D108)</f>
        <v/>
      </c>
      <c r="E108" s="11">
        <f>IF(BASE!E108="","",BASE!E108)</f>
        <v/>
      </c>
      <c r="F108" s="11">
        <f>IF(BASE!F108="","",BASE!F108)</f>
        <v/>
      </c>
      <c r="G108" s="28">
        <f>N(BASE!L108)*INDEX(PARAMETROS!$C$25:$F$25,PARAMETROS!$C$9)</f>
        <v/>
      </c>
      <c r="H108" s="14">
        <f>IF(E108="",0,INDEX(PARAMETROS!$C$25:$F$25,PARAMETROS!$C$9)/60*N(BASE!L108)*BASE!P108*(IF(INDEX(PARAMETROS!$C$27:$F$27,PARAMETROS!$C$9)="Real",BASE!N108,N(BASE!H108))*INDEX(PARAMETROS!$C$26:$F$26,PARAMETROS!$C$9)+BASE!O108))</f>
        <v/>
      </c>
      <c r="I108" s="14">
        <f>IF(F108="",0,INDEX(PARAMETROS!$C$25:$F$25,PARAMETROS!$C$9)/60*N(BASE!L108)*(IF(INDEX(PARAMETROS!$C$27:$F$27,PARAMETROS!$C$9)="Real",BASE!N108,N(BASE!H108))*INDEX(PARAMETROS!$C$26:$F$26,PARAMETROS!$C$9)+BASE!O108))</f>
        <v/>
      </c>
      <c r="J108" s="15">
        <f>MAX(IFERROR(INDEX(CAP_CELULA!$J$6:$J$65,(PARAMETROS!$C$9-1)*15+MATCH(E108,MAO_OBRA!$A$6:$A$20,0)),0),IFERROR(INDEX(USINAGEM!$I$6:$I$29,(PARAMETROS!$C$9-1)*6+MATCH(F108,PARAMETROS!$B$32:$B$37,0)),0))</f>
        <v/>
      </c>
      <c r="K108" s="12">
        <f>IF(AND(C108&lt;&gt;"",J108&gt;0,J108=SUMPRODUCT(MAX(($B$6:$B$205=B108)*($C$6:$C$205=C108)*$J$6:$J$205))),"◄ GARGALO","")</f>
        <v/>
      </c>
      <c r="L108" s="33">
        <f>H108+I108+ROW()/10000000</f>
        <v/>
      </c>
    </row>
    <row r="109">
      <c r="A109" s="11">
        <f>IF(BASE!A109="","",BASE!A109)</f>
        <v/>
      </c>
      <c r="B109" s="11">
        <f>IF(BASE!B109="","",BASE!B109)</f>
        <v/>
      </c>
      <c r="C109" s="11">
        <f>IF(BASE!C109="","",BASE!C109)</f>
        <v/>
      </c>
      <c r="D109" s="11">
        <f>IF(BASE!D109="","",BASE!D109)</f>
        <v/>
      </c>
      <c r="E109" s="11">
        <f>IF(BASE!E109="","",BASE!E109)</f>
        <v/>
      </c>
      <c r="F109" s="11">
        <f>IF(BASE!F109="","",BASE!F109)</f>
        <v/>
      </c>
      <c r="G109" s="28">
        <f>N(BASE!L109)*INDEX(PARAMETROS!$C$25:$F$25,PARAMETROS!$C$9)</f>
        <v/>
      </c>
      <c r="H109" s="14">
        <f>IF(E109="",0,INDEX(PARAMETROS!$C$25:$F$25,PARAMETROS!$C$9)/60*N(BASE!L109)*BASE!P109*(IF(INDEX(PARAMETROS!$C$27:$F$27,PARAMETROS!$C$9)="Real",BASE!N109,N(BASE!H109))*INDEX(PARAMETROS!$C$26:$F$26,PARAMETROS!$C$9)+BASE!O109))</f>
        <v/>
      </c>
      <c r="I109" s="14">
        <f>IF(F109="",0,INDEX(PARAMETROS!$C$25:$F$25,PARAMETROS!$C$9)/60*N(BASE!L109)*(IF(INDEX(PARAMETROS!$C$27:$F$27,PARAMETROS!$C$9)="Real",BASE!N109,N(BASE!H109))*INDEX(PARAMETROS!$C$26:$F$26,PARAMETROS!$C$9)+BASE!O109))</f>
        <v/>
      </c>
      <c r="J109" s="15">
        <f>MAX(IFERROR(INDEX(CAP_CELULA!$J$6:$J$65,(PARAMETROS!$C$9-1)*15+MATCH(E109,MAO_OBRA!$A$6:$A$20,0)),0),IFERROR(INDEX(USINAGEM!$I$6:$I$29,(PARAMETROS!$C$9-1)*6+MATCH(F109,PARAMETROS!$B$32:$B$37,0)),0))</f>
        <v/>
      </c>
      <c r="K109" s="12">
        <f>IF(AND(C109&lt;&gt;"",J109&gt;0,J109=SUMPRODUCT(MAX(($B$6:$B$205=B109)*($C$6:$C$205=C109)*$J$6:$J$205))),"◄ GARGALO","")</f>
        <v/>
      </c>
      <c r="L109" s="33">
        <f>H109+I109+ROW()/10000000</f>
        <v/>
      </c>
    </row>
    <row r="110">
      <c r="A110" s="11">
        <f>IF(BASE!A110="","",BASE!A110)</f>
        <v/>
      </c>
      <c r="B110" s="11">
        <f>IF(BASE!B110="","",BASE!B110)</f>
        <v/>
      </c>
      <c r="C110" s="11">
        <f>IF(BASE!C110="","",BASE!C110)</f>
        <v/>
      </c>
      <c r="D110" s="11">
        <f>IF(BASE!D110="","",BASE!D110)</f>
        <v/>
      </c>
      <c r="E110" s="11">
        <f>IF(BASE!E110="","",BASE!E110)</f>
        <v/>
      </c>
      <c r="F110" s="11">
        <f>IF(BASE!F110="","",BASE!F110)</f>
        <v/>
      </c>
      <c r="G110" s="28">
        <f>N(BASE!L110)*INDEX(PARAMETROS!$C$25:$F$25,PARAMETROS!$C$9)</f>
        <v/>
      </c>
      <c r="H110" s="14">
        <f>IF(E110="",0,INDEX(PARAMETROS!$C$25:$F$25,PARAMETROS!$C$9)/60*N(BASE!L110)*BASE!P110*(IF(INDEX(PARAMETROS!$C$27:$F$27,PARAMETROS!$C$9)="Real",BASE!N110,N(BASE!H110))*INDEX(PARAMETROS!$C$26:$F$26,PARAMETROS!$C$9)+BASE!O110))</f>
        <v/>
      </c>
      <c r="I110" s="14">
        <f>IF(F110="",0,INDEX(PARAMETROS!$C$25:$F$25,PARAMETROS!$C$9)/60*N(BASE!L110)*(IF(INDEX(PARAMETROS!$C$27:$F$27,PARAMETROS!$C$9)="Real",BASE!N110,N(BASE!H110))*INDEX(PARAMETROS!$C$26:$F$26,PARAMETROS!$C$9)+BASE!O110))</f>
        <v/>
      </c>
      <c r="J110" s="15">
        <f>MAX(IFERROR(INDEX(CAP_CELULA!$J$6:$J$65,(PARAMETROS!$C$9-1)*15+MATCH(E110,MAO_OBRA!$A$6:$A$20,0)),0),IFERROR(INDEX(USINAGEM!$I$6:$I$29,(PARAMETROS!$C$9-1)*6+MATCH(F110,PARAMETROS!$B$32:$B$37,0)),0))</f>
        <v/>
      </c>
      <c r="K110" s="12">
        <f>IF(AND(C110&lt;&gt;"",J110&gt;0,J110=SUMPRODUCT(MAX(($B$6:$B$205=B110)*($C$6:$C$205=C110)*$J$6:$J$205))),"◄ GARGALO","")</f>
        <v/>
      </c>
      <c r="L110" s="33">
        <f>H110+I110+ROW()/10000000</f>
        <v/>
      </c>
    </row>
    <row r="111">
      <c r="A111" s="11">
        <f>IF(BASE!A111="","",BASE!A111)</f>
        <v/>
      </c>
      <c r="B111" s="11">
        <f>IF(BASE!B111="","",BASE!B111)</f>
        <v/>
      </c>
      <c r="C111" s="11">
        <f>IF(BASE!C111="","",BASE!C111)</f>
        <v/>
      </c>
      <c r="D111" s="11">
        <f>IF(BASE!D111="","",BASE!D111)</f>
        <v/>
      </c>
      <c r="E111" s="11">
        <f>IF(BASE!E111="","",BASE!E111)</f>
        <v/>
      </c>
      <c r="F111" s="11">
        <f>IF(BASE!F111="","",BASE!F111)</f>
        <v/>
      </c>
      <c r="G111" s="28">
        <f>N(BASE!L111)*INDEX(PARAMETROS!$C$25:$F$25,PARAMETROS!$C$9)</f>
        <v/>
      </c>
      <c r="H111" s="14">
        <f>IF(E111="",0,INDEX(PARAMETROS!$C$25:$F$25,PARAMETROS!$C$9)/60*N(BASE!L111)*BASE!P111*(IF(INDEX(PARAMETROS!$C$27:$F$27,PARAMETROS!$C$9)="Real",BASE!N111,N(BASE!H111))*INDEX(PARAMETROS!$C$26:$F$26,PARAMETROS!$C$9)+BASE!O111))</f>
        <v/>
      </c>
      <c r="I111" s="14">
        <f>IF(F111="",0,INDEX(PARAMETROS!$C$25:$F$25,PARAMETROS!$C$9)/60*N(BASE!L111)*(IF(INDEX(PARAMETROS!$C$27:$F$27,PARAMETROS!$C$9)="Real",BASE!N111,N(BASE!H111))*INDEX(PARAMETROS!$C$26:$F$26,PARAMETROS!$C$9)+BASE!O111))</f>
        <v/>
      </c>
      <c r="J111" s="15">
        <f>MAX(IFERROR(INDEX(CAP_CELULA!$J$6:$J$65,(PARAMETROS!$C$9-1)*15+MATCH(E111,MAO_OBRA!$A$6:$A$20,0)),0),IFERROR(INDEX(USINAGEM!$I$6:$I$29,(PARAMETROS!$C$9-1)*6+MATCH(F111,PARAMETROS!$B$32:$B$37,0)),0))</f>
        <v/>
      </c>
      <c r="K111" s="12">
        <f>IF(AND(C111&lt;&gt;"",J111&gt;0,J111=SUMPRODUCT(MAX(($B$6:$B$205=B111)*($C$6:$C$205=C111)*$J$6:$J$205))),"◄ GARGALO","")</f>
        <v/>
      </c>
      <c r="L111" s="33">
        <f>H111+I111+ROW()/10000000</f>
        <v/>
      </c>
    </row>
    <row r="112">
      <c r="A112" s="11">
        <f>IF(BASE!A112="","",BASE!A112)</f>
        <v/>
      </c>
      <c r="B112" s="11">
        <f>IF(BASE!B112="","",BASE!B112)</f>
        <v/>
      </c>
      <c r="C112" s="11">
        <f>IF(BASE!C112="","",BASE!C112)</f>
        <v/>
      </c>
      <c r="D112" s="11">
        <f>IF(BASE!D112="","",BASE!D112)</f>
        <v/>
      </c>
      <c r="E112" s="11">
        <f>IF(BASE!E112="","",BASE!E112)</f>
        <v/>
      </c>
      <c r="F112" s="11">
        <f>IF(BASE!F112="","",BASE!F112)</f>
        <v/>
      </c>
      <c r="G112" s="28">
        <f>N(BASE!L112)*INDEX(PARAMETROS!$C$25:$F$25,PARAMETROS!$C$9)</f>
        <v/>
      </c>
      <c r="H112" s="14">
        <f>IF(E112="",0,INDEX(PARAMETROS!$C$25:$F$25,PARAMETROS!$C$9)/60*N(BASE!L112)*BASE!P112*(IF(INDEX(PARAMETROS!$C$27:$F$27,PARAMETROS!$C$9)="Real",BASE!N112,N(BASE!H112))*INDEX(PARAMETROS!$C$26:$F$26,PARAMETROS!$C$9)+BASE!O112))</f>
        <v/>
      </c>
      <c r="I112" s="14">
        <f>IF(F112="",0,INDEX(PARAMETROS!$C$25:$F$25,PARAMETROS!$C$9)/60*N(BASE!L112)*(IF(INDEX(PARAMETROS!$C$27:$F$27,PARAMETROS!$C$9)="Real",BASE!N112,N(BASE!H112))*INDEX(PARAMETROS!$C$26:$F$26,PARAMETROS!$C$9)+BASE!O112))</f>
        <v/>
      </c>
      <c r="J112" s="15">
        <f>MAX(IFERROR(INDEX(CAP_CELULA!$J$6:$J$65,(PARAMETROS!$C$9-1)*15+MATCH(E112,MAO_OBRA!$A$6:$A$20,0)),0),IFERROR(INDEX(USINAGEM!$I$6:$I$29,(PARAMETROS!$C$9-1)*6+MATCH(F112,PARAMETROS!$B$32:$B$37,0)),0))</f>
        <v/>
      </c>
      <c r="K112" s="12">
        <f>IF(AND(C112&lt;&gt;"",J112&gt;0,J112=SUMPRODUCT(MAX(($B$6:$B$205=B112)*($C$6:$C$205=C112)*$J$6:$J$205))),"◄ GARGALO","")</f>
        <v/>
      </c>
      <c r="L112" s="33">
        <f>H112+I112+ROW()/10000000</f>
        <v/>
      </c>
    </row>
    <row r="113">
      <c r="A113" s="11">
        <f>IF(BASE!A113="","",BASE!A113)</f>
        <v/>
      </c>
      <c r="B113" s="11">
        <f>IF(BASE!B113="","",BASE!B113)</f>
        <v/>
      </c>
      <c r="C113" s="11">
        <f>IF(BASE!C113="","",BASE!C113)</f>
        <v/>
      </c>
      <c r="D113" s="11">
        <f>IF(BASE!D113="","",BASE!D113)</f>
        <v/>
      </c>
      <c r="E113" s="11">
        <f>IF(BASE!E113="","",BASE!E113)</f>
        <v/>
      </c>
      <c r="F113" s="11">
        <f>IF(BASE!F113="","",BASE!F113)</f>
        <v/>
      </c>
      <c r="G113" s="28">
        <f>N(BASE!L113)*INDEX(PARAMETROS!$C$25:$F$25,PARAMETROS!$C$9)</f>
        <v/>
      </c>
      <c r="H113" s="14">
        <f>IF(E113="",0,INDEX(PARAMETROS!$C$25:$F$25,PARAMETROS!$C$9)/60*N(BASE!L113)*BASE!P113*(IF(INDEX(PARAMETROS!$C$27:$F$27,PARAMETROS!$C$9)="Real",BASE!N113,N(BASE!H113))*INDEX(PARAMETROS!$C$26:$F$26,PARAMETROS!$C$9)+BASE!O113))</f>
        <v/>
      </c>
      <c r="I113" s="14">
        <f>IF(F113="",0,INDEX(PARAMETROS!$C$25:$F$25,PARAMETROS!$C$9)/60*N(BASE!L113)*(IF(INDEX(PARAMETROS!$C$27:$F$27,PARAMETROS!$C$9)="Real",BASE!N113,N(BASE!H113))*INDEX(PARAMETROS!$C$26:$F$26,PARAMETROS!$C$9)+BASE!O113))</f>
        <v/>
      </c>
      <c r="J113" s="15">
        <f>MAX(IFERROR(INDEX(CAP_CELULA!$J$6:$J$65,(PARAMETROS!$C$9-1)*15+MATCH(E113,MAO_OBRA!$A$6:$A$20,0)),0),IFERROR(INDEX(USINAGEM!$I$6:$I$29,(PARAMETROS!$C$9-1)*6+MATCH(F113,PARAMETROS!$B$32:$B$37,0)),0))</f>
        <v/>
      </c>
      <c r="K113" s="12">
        <f>IF(AND(C113&lt;&gt;"",J113&gt;0,J113=SUMPRODUCT(MAX(($B$6:$B$205=B113)*($C$6:$C$205=C113)*$J$6:$J$205))),"◄ GARGALO","")</f>
        <v/>
      </c>
      <c r="L113" s="33">
        <f>H113+I113+ROW()/10000000</f>
        <v/>
      </c>
    </row>
    <row r="114">
      <c r="A114" s="11">
        <f>IF(BASE!A114="","",BASE!A114)</f>
        <v/>
      </c>
      <c r="B114" s="11">
        <f>IF(BASE!B114="","",BASE!B114)</f>
        <v/>
      </c>
      <c r="C114" s="11">
        <f>IF(BASE!C114="","",BASE!C114)</f>
        <v/>
      </c>
      <c r="D114" s="11">
        <f>IF(BASE!D114="","",BASE!D114)</f>
        <v/>
      </c>
      <c r="E114" s="11">
        <f>IF(BASE!E114="","",BASE!E114)</f>
        <v/>
      </c>
      <c r="F114" s="11">
        <f>IF(BASE!F114="","",BASE!F114)</f>
        <v/>
      </c>
      <c r="G114" s="28">
        <f>N(BASE!L114)*INDEX(PARAMETROS!$C$25:$F$25,PARAMETROS!$C$9)</f>
        <v/>
      </c>
      <c r="H114" s="14">
        <f>IF(E114="",0,INDEX(PARAMETROS!$C$25:$F$25,PARAMETROS!$C$9)/60*N(BASE!L114)*BASE!P114*(IF(INDEX(PARAMETROS!$C$27:$F$27,PARAMETROS!$C$9)="Real",BASE!N114,N(BASE!H114))*INDEX(PARAMETROS!$C$26:$F$26,PARAMETROS!$C$9)+BASE!O114))</f>
        <v/>
      </c>
      <c r="I114" s="14">
        <f>IF(F114="",0,INDEX(PARAMETROS!$C$25:$F$25,PARAMETROS!$C$9)/60*N(BASE!L114)*(IF(INDEX(PARAMETROS!$C$27:$F$27,PARAMETROS!$C$9)="Real",BASE!N114,N(BASE!H114))*INDEX(PARAMETROS!$C$26:$F$26,PARAMETROS!$C$9)+BASE!O114))</f>
        <v/>
      </c>
      <c r="J114" s="15">
        <f>MAX(IFERROR(INDEX(CAP_CELULA!$J$6:$J$65,(PARAMETROS!$C$9-1)*15+MATCH(E114,MAO_OBRA!$A$6:$A$20,0)),0),IFERROR(INDEX(USINAGEM!$I$6:$I$29,(PARAMETROS!$C$9-1)*6+MATCH(F114,PARAMETROS!$B$32:$B$37,0)),0))</f>
        <v/>
      </c>
      <c r="K114" s="12">
        <f>IF(AND(C114&lt;&gt;"",J114&gt;0,J114=SUMPRODUCT(MAX(($B$6:$B$205=B114)*($C$6:$C$205=C114)*$J$6:$J$205))),"◄ GARGALO","")</f>
        <v/>
      </c>
      <c r="L114" s="33">
        <f>H114+I114+ROW()/10000000</f>
        <v/>
      </c>
    </row>
    <row r="115">
      <c r="A115" s="11">
        <f>IF(BASE!A115="","",BASE!A115)</f>
        <v/>
      </c>
      <c r="B115" s="11">
        <f>IF(BASE!B115="","",BASE!B115)</f>
        <v/>
      </c>
      <c r="C115" s="11">
        <f>IF(BASE!C115="","",BASE!C115)</f>
        <v/>
      </c>
      <c r="D115" s="11">
        <f>IF(BASE!D115="","",BASE!D115)</f>
        <v/>
      </c>
      <c r="E115" s="11">
        <f>IF(BASE!E115="","",BASE!E115)</f>
        <v/>
      </c>
      <c r="F115" s="11">
        <f>IF(BASE!F115="","",BASE!F115)</f>
        <v/>
      </c>
      <c r="G115" s="28">
        <f>N(BASE!L115)*INDEX(PARAMETROS!$C$25:$F$25,PARAMETROS!$C$9)</f>
        <v/>
      </c>
      <c r="H115" s="14">
        <f>IF(E115="",0,INDEX(PARAMETROS!$C$25:$F$25,PARAMETROS!$C$9)/60*N(BASE!L115)*BASE!P115*(IF(INDEX(PARAMETROS!$C$27:$F$27,PARAMETROS!$C$9)="Real",BASE!N115,N(BASE!H115))*INDEX(PARAMETROS!$C$26:$F$26,PARAMETROS!$C$9)+BASE!O115))</f>
        <v/>
      </c>
      <c r="I115" s="14">
        <f>IF(F115="",0,INDEX(PARAMETROS!$C$25:$F$25,PARAMETROS!$C$9)/60*N(BASE!L115)*(IF(INDEX(PARAMETROS!$C$27:$F$27,PARAMETROS!$C$9)="Real",BASE!N115,N(BASE!H115))*INDEX(PARAMETROS!$C$26:$F$26,PARAMETROS!$C$9)+BASE!O115))</f>
        <v/>
      </c>
      <c r="J115" s="15">
        <f>MAX(IFERROR(INDEX(CAP_CELULA!$J$6:$J$65,(PARAMETROS!$C$9-1)*15+MATCH(E115,MAO_OBRA!$A$6:$A$20,0)),0),IFERROR(INDEX(USINAGEM!$I$6:$I$29,(PARAMETROS!$C$9-1)*6+MATCH(F115,PARAMETROS!$B$32:$B$37,0)),0))</f>
        <v/>
      </c>
      <c r="K115" s="12">
        <f>IF(AND(C115&lt;&gt;"",J115&gt;0,J115=SUMPRODUCT(MAX(($B$6:$B$205=B115)*($C$6:$C$205=C115)*$J$6:$J$205))),"◄ GARGALO","")</f>
        <v/>
      </c>
      <c r="L115" s="33">
        <f>H115+I115+ROW()/10000000</f>
        <v/>
      </c>
    </row>
    <row r="116">
      <c r="A116" s="11">
        <f>IF(BASE!A116="","",BASE!A116)</f>
        <v/>
      </c>
      <c r="B116" s="11">
        <f>IF(BASE!B116="","",BASE!B116)</f>
        <v/>
      </c>
      <c r="C116" s="11">
        <f>IF(BASE!C116="","",BASE!C116)</f>
        <v/>
      </c>
      <c r="D116" s="11">
        <f>IF(BASE!D116="","",BASE!D116)</f>
        <v/>
      </c>
      <c r="E116" s="11">
        <f>IF(BASE!E116="","",BASE!E116)</f>
        <v/>
      </c>
      <c r="F116" s="11">
        <f>IF(BASE!F116="","",BASE!F116)</f>
        <v/>
      </c>
      <c r="G116" s="28">
        <f>N(BASE!L116)*INDEX(PARAMETROS!$C$25:$F$25,PARAMETROS!$C$9)</f>
        <v/>
      </c>
      <c r="H116" s="14">
        <f>IF(E116="",0,INDEX(PARAMETROS!$C$25:$F$25,PARAMETROS!$C$9)/60*N(BASE!L116)*BASE!P116*(IF(INDEX(PARAMETROS!$C$27:$F$27,PARAMETROS!$C$9)="Real",BASE!N116,N(BASE!H116))*INDEX(PARAMETROS!$C$26:$F$26,PARAMETROS!$C$9)+BASE!O116))</f>
        <v/>
      </c>
      <c r="I116" s="14">
        <f>IF(F116="",0,INDEX(PARAMETROS!$C$25:$F$25,PARAMETROS!$C$9)/60*N(BASE!L116)*(IF(INDEX(PARAMETROS!$C$27:$F$27,PARAMETROS!$C$9)="Real",BASE!N116,N(BASE!H116))*INDEX(PARAMETROS!$C$26:$F$26,PARAMETROS!$C$9)+BASE!O116))</f>
        <v/>
      </c>
      <c r="J116" s="15">
        <f>MAX(IFERROR(INDEX(CAP_CELULA!$J$6:$J$65,(PARAMETROS!$C$9-1)*15+MATCH(E116,MAO_OBRA!$A$6:$A$20,0)),0),IFERROR(INDEX(USINAGEM!$I$6:$I$29,(PARAMETROS!$C$9-1)*6+MATCH(F116,PARAMETROS!$B$32:$B$37,0)),0))</f>
        <v/>
      </c>
      <c r="K116" s="12">
        <f>IF(AND(C116&lt;&gt;"",J116&gt;0,J116=SUMPRODUCT(MAX(($B$6:$B$205=B116)*($C$6:$C$205=C116)*$J$6:$J$205))),"◄ GARGALO","")</f>
        <v/>
      </c>
      <c r="L116" s="33">
        <f>H116+I116+ROW()/10000000</f>
        <v/>
      </c>
    </row>
    <row r="117">
      <c r="A117" s="11">
        <f>IF(BASE!A117="","",BASE!A117)</f>
        <v/>
      </c>
      <c r="B117" s="11">
        <f>IF(BASE!B117="","",BASE!B117)</f>
        <v/>
      </c>
      <c r="C117" s="11">
        <f>IF(BASE!C117="","",BASE!C117)</f>
        <v/>
      </c>
      <c r="D117" s="11">
        <f>IF(BASE!D117="","",BASE!D117)</f>
        <v/>
      </c>
      <c r="E117" s="11">
        <f>IF(BASE!E117="","",BASE!E117)</f>
        <v/>
      </c>
      <c r="F117" s="11">
        <f>IF(BASE!F117="","",BASE!F117)</f>
        <v/>
      </c>
      <c r="G117" s="28">
        <f>N(BASE!L117)*INDEX(PARAMETROS!$C$25:$F$25,PARAMETROS!$C$9)</f>
        <v/>
      </c>
      <c r="H117" s="14">
        <f>IF(E117="",0,INDEX(PARAMETROS!$C$25:$F$25,PARAMETROS!$C$9)/60*N(BASE!L117)*BASE!P117*(IF(INDEX(PARAMETROS!$C$27:$F$27,PARAMETROS!$C$9)="Real",BASE!N117,N(BASE!H117))*INDEX(PARAMETROS!$C$26:$F$26,PARAMETROS!$C$9)+BASE!O117))</f>
        <v/>
      </c>
      <c r="I117" s="14">
        <f>IF(F117="",0,INDEX(PARAMETROS!$C$25:$F$25,PARAMETROS!$C$9)/60*N(BASE!L117)*(IF(INDEX(PARAMETROS!$C$27:$F$27,PARAMETROS!$C$9)="Real",BASE!N117,N(BASE!H117))*INDEX(PARAMETROS!$C$26:$F$26,PARAMETROS!$C$9)+BASE!O117))</f>
        <v/>
      </c>
      <c r="J117" s="15">
        <f>MAX(IFERROR(INDEX(CAP_CELULA!$J$6:$J$65,(PARAMETROS!$C$9-1)*15+MATCH(E117,MAO_OBRA!$A$6:$A$20,0)),0),IFERROR(INDEX(USINAGEM!$I$6:$I$29,(PARAMETROS!$C$9-1)*6+MATCH(F117,PARAMETROS!$B$32:$B$37,0)),0))</f>
        <v/>
      </c>
      <c r="K117" s="12">
        <f>IF(AND(C117&lt;&gt;"",J117&gt;0,J117=SUMPRODUCT(MAX(($B$6:$B$205=B117)*($C$6:$C$205=C117)*$J$6:$J$205))),"◄ GARGALO","")</f>
        <v/>
      </c>
      <c r="L117" s="33">
        <f>H117+I117+ROW()/10000000</f>
        <v/>
      </c>
    </row>
    <row r="118">
      <c r="A118" s="11">
        <f>IF(BASE!A118="","",BASE!A118)</f>
        <v/>
      </c>
      <c r="B118" s="11">
        <f>IF(BASE!B118="","",BASE!B118)</f>
        <v/>
      </c>
      <c r="C118" s="11">
        <f>IF(BASE!C118="","",BASE!C118)</f>
        <v/>
      </c>
      <c r="D118" s="11">
        <f>IF(BASE!D118="","",BASE!D118)</f>
        <v/>
      </c>
      <c r="E118" s="11">
        <f>IF(BASE!E118="","",BASE!E118)</f>
        <v/>
      </c>
      <c r="F118" s="11">
        <f>IF(BASE!F118="","",BASE!F118)</f>
        <v/>
      </c>
      <c r="G118" s="28">
        <f>N(BASE!L118)*INDEX(PARAMETROS!$C$25:$F$25,PARAMETROS!$C$9)</f>
        <v/>
      </c>
      <c r="H118" s="14">
        <f>IF(E118="",0,INDEX(PARAMETROS!$C$25:$F$25,PARAMETROS!$C$9)/60*N(BASE!L118)*BASE!P118*(IF(INDEX(PARAMETROS!$C$27:$F$27,PARAMETROS!$C$9)="Real",BASE!N118,N(BASE!H118))*INDEX(PARAMETROS!$C$26:$F$26,PARAMETROS!$C$9)+BASE!O118))</f>
        <v/>
      </c>
      <c r="I118" s="14">
        <f>IF(F118="",0,INDEX(PARAMETROS!$C$25:$F$25,PARAMETROS!$C$9)/60*N(BASE!L118)*(IF(INDEX(PARAMETROS!$C$27:$F$27,PARAMETROS!$C$9)="Real",BASE!N118,N(BASE!H118))*INDEX(PARAMETROS!$C$26:$F$26,PARAMETROS!$C$9)+BASE!O118))</f>
        <v/>
      </c>
      <c r="J118" s="15">
        <f>MAX(IFERROR(INDEX(CAP_CELULA!$J$6:$J$65,(PARAMETROS!$C$9-1)*15+MATCH(E118,MAO_OBRA!$A$6:$A$20,0)),0),IFERROR(INDEX(USINAGEM!$I$6:$I$29,(PARAMETROS!$C$9-1)*6+MATCH(F118,PARAMETROS!$B$32:$B$37,0)),0))</f>
        <v/>
      </c>
      <c r="K118" s="12">
        <f>IF(AND(C118&lt;&gt;"",J118&gt;0,J118=SUMPRODUCT(MAX(($B$6:$B$205=B118)*($C$6:$C$205=C118)*$J$6:$J$205))),"◄ GARGALO","")</f>
        <v/>
      </c>
      <c r="L118" s="33">
        <f>H118+I118+ROW()/10000000</f>
        <v/>
      </c>
    </row>
    <row r="119">
      <c r="A119" s="11">
        <f>IF(BASE!A119="","",BASE!A119)</f>
        <v/>
      </c>
      <c r="B119" s="11">
        <f>IF(BASE!B119="","",BASE!B119)</f>
        <v/>
      </c>
      <c r="C119" s="11">
        <f>IF(BASE!C119="","",BASE!C119)</f>
        <v/>
      </c>
      <c r="D119" s="11">
        <f>IF(BASE!D119="","",BASE!D119)</f>
        <v/>
      </c>
      <c r="E119" s="11">
        <f>IF(BASE!E119="","",BASE!E119)</f>
        <v/>
      </c>
      <c r="F119" s="11">
        <f>IF(BASE!F119="","",BASE!F119)</f>
        <v/>
      </c>
      <c r="G119" s="28">
        <f>N(BASE!L119)*INDEX(PARAMETROS!$C$25:$F$25,PARAMETROS!$C$9)</f>
        <v/>
      </c>
      <c r="H119" s="14">
        <f>IF(E119="",0,INDEX(PARAMETROS!$C$25:$F$25,PARAMETROS!$C$9)/60*N(BASE!L119)*BASE!P119*(IF(INDEX(PARAMETROS!$C$27:$F$27,PARAMETROS!$C$9)="Real",BASE!N119,N(BASE!H119))*INDEX(PARAMETROS!$C$26:$F$26,PARAMETROS!$C$9)+BASE!O119))</f>
        <v/>
      </c>
      <c r="I119" s="14">
        <f>IF(F119="",0,INDEX(PARAMETROS!$C$25:$F$25,PARAMETROS!$C$9)/60*N(BASE!L119)*(IF(INDEX(PARAMETROS!$C$27:$F$27,PARAMETROS!$C$9)="Real",BASE!N119,N(BASE!H119))*INDEX(PARAMETROS!$C$26:$F$26,PARAMETROS!$C$9)+BASE!O119))</f>
        <v/>
      </c>
      <c r="J119" s="15">
        <f>MAX(IFERROR(INDEX(CAP_CELULA!$J$6:$J$65,(PARAMETROS!$C$9-1)*15+MATCH(E119,MAO_OBRA!$A$6:$A$20,0)),0),IFERROR(INDEX(USINAGEM!$I$6:$I$29,(PARAMETROS!$C$9-1)*6+MATCH(F119,PARAMETROS!$B$32:$B$37,0)),0))</f>
        <v/>
      </c>
      <c r="K119" s="12">
        <f>IF(AND(C119&lt;&gt;"",J119&gt;0,J119=SUMPRODUCT(MAX(($B$6:$B$205=B119)*($C$6:$C$205=C119)*$J$6:$J$205))),"◄ GARGALO","")</f>
        <v/>
      </c>
      <c r="L119" s="33">
        <f>H119+I119+ROW()/10000000</f>
        <v/>
      </c>
    </row>
    <row r="120">
      <c r="A120" s="11">
        <f>IF(BASE!A120="","",BASE!A120)</f>
        <v/>
      </c>
      <c r="B120" s="11">
        <f>IF(BASE!B120="","",BASE!B120)</f>
        <v/>
      </c>
      <c r="C120" s="11">
        <f>IF(BASE!C120="","",BASE!C120)</f>
        <v/>
      </c>
      <c r="D120" s="11">
        <f>IF(BASE!D120="","",BASE!D120)</f>
        <v/>
      </c>
      <c r="E120" s="11">
        <f>IF(BASE!E120="","",BASE!E120)</f>
        <v/>
      </c>
      <c r="F120" s="11">
        <f>IF(BASE!F120="","",BASE!F120)</f>
        <v/>
      </c>
      <c r="G120" s="28">
        <f>N(BASE!L120)*INDEX(PARAMETROS!$C$25:$F$25,PARAMETROS!$C$9)</f>
        <v/>
      </c>
      <c r="H120" s="14">
        <f>IF(E120="",0,INDEX(PARAMETROS!$C$25:$F$25,PARAMETROS!$C$9)/60*N(BASE!L120)*BASE!P120*(IF(INDEX(PARAMETROS!$C$27:$F$27,PARAMETROS!$C$9)="Real",BASE!N120,N(BASE!H120))*INDEX(PARAMETROS!$C$26:$F$26,PARAMETROS!$C$9)+BASE!O120))</f>
        <v/>
      </c>
      <c r="I120" s="14">
        <f>IF(F120="",0,INDEX(PARAMETROS!$C$25:$F$25,PARAMETROS!$C$9)/60*N(BASE!L120)*(IF(INDEX(PARAMETROS!$C$27:$F$27,PARAMETROS!$C$9)="Real",BASE!N120,N(BASE!H120))*INDEX(PARAMETROS!$C$26:$F$26,PARAMETROS!$C$9)+BASE!O120))</f>
        <v/>
      </c>
      <c r="J120" s="15">
        <f>MAX(IFERROR(INDEX(CAP_CELULA!$J$6:$J$65,(PARAMETROS!$C$9-1)*15+MATCH(E120,MAO_OBRA!$A$6:$A$20,0)),0),IFERROR(INDEX(USINAGEM!$I$6:$I$29,(PARAMETROS!$C$9-1)*6+MATCH(F120,PARAMETROS!$B$32:$B$37,0)),0))</f>
        <v/>
      </c>
      <c r="K120" s="12">
        <f>IF(AND(C120&lt;&gt;"",J120&gt;0,J120=SUMPRODUCT(MAX(($B$6:$B$205=B120)*($C$6:$C$205=C120)*$J$6:$J$205))),"◄ GARGALO","")</f>
        <v/>
      </c>
      <c r="L120" s="33">
        <f>H120+I120+ROW()/10000000</f>
        <v/>
      </c>
    </row>
    <row r="121">
      <c r="A121" s="11">
        <f>IF(BASE!A121="","",BASE!A121)</f>
        <v/>
      </c>
      <c r="B121" s="11">
        <f>IF(BASE!B121="","",BASE!B121)</f>
        <v/>
      </c>
      <c r="C121" s="11">
        <f>IF(BASE!C121="","",BASE!C121)</f>
        <v/>
      </c>
      <c r="D121" s="11">
        <f>IF(BASE!D121="","",BASE!D121)</f>
        <v/>
      </c>
      <c r="E121" s="11">
        <f>IF(BASE!E121="","",BASE!E121)</f>
        <v/>
      </c>
      <c r="F121" s="11">
        <f>IF(BASE!F121="","",BASE!F121)</f>
        <v/>
      </c>
      <c r="G121" s="28">
        <f>N(BASE!L121)*INDEX(PARAMETROS!$C$25:$F$25,PARAMETROS!$C$9)</f>
        <v/>
      </c>
      <c r="H121" s="14">
        <f>IF(E121="",0,INDEX(PARAMETROS!$C$25:$F$25,PARAMETROS!$C$9)/60*N(BASE!L121)*BASE!P121*(IF(INDEX(PARAMETROS!$C$27:$F$27,PARAMETROS!$C$9)="Real",BASE!N121,N(BASE!H121))*INDEX(PARAMETROS!$C$26:$F$26,PARAMETROS!$C$9)+BASE!O121))</f>
        <v/>
      </c>
      <c r="I121" s="14">
        <f>IF(F121="",0,INDEX(PARAMETROS!$C$25:$F$25,PARAMETROS!$C$9)/60*N(BASE!L121)*(IF(INDEX(PARAMETROS!$C$27:$F$27,PARAMETROS!$C$9)="Real",BASE!N121,N(BASE!H121))*INDEX(PARAMETROS!$C$26:$F$26,PARAMETROS!$C$9)+BASE!O121))</f>
        <v/>
      </c>
      <c r="J121" s="15">
        <f>MAX(IFERROR(INDEX(CAP_CELULA!$J$6:$J$65,(PARAMETROS!$C$9-1)*15+MATCH(E121,MAO_OBRA!$A$6:$A$20,0)),0),IFERROR(INDEX(USINAGEM!$I$6:$I$29,(PARAMETROS!$C$9-1)*6+MATCH(F121,PARAMETROS!$B$32:$B$37,0)),0))</f>
        <v/>
      </c>
      <c r="K121" s="12">
        <f>IF(AND(C121&lt;&gt;"",J121&gt;0,J121=SUMPRODUCT(MAX(($B$6:$B$205=B121)*($C$6:$C$205=C121)*$J$6:$J$205))),"◄ GARGALO","")</f>
        <v/>
      </c>
      <c r="L121" s="33">
        <f>H121+I121+ROW()/10000000</f>
        <v/>
      </c>
    </row>
    <row r="122">
      <c r="A122" s="11">
        <f>IF(BASE!A122="","",BASE!A122)</f>
        <v/>
      </c>
      <c r="B122" s="11">
        <f>IF(BASE!B122="","",BASE!B122)</f>
        <v/>
      </c>
      <c r="C122" s="11">
        <f>IF(BASE!C122="","",BASE!C122)</f>
        <v/>
      </c>
      <c r="D122" s="11">
        <f>IF(BASE!D122="","",BASE!D122)</f>
        <v/>
      </c>
      <c r="E122" s="11">
        <f>IF(BASE!E122="","",BASE!E122)</f>
        <v/>
      </c>
      <c r="F122" s="11">
        <f>IF(BASE!F122="","",BASE!F122)</f>
        <v/>
      </c>
      <c r="G122" s="28">
        <f>N(BASE!L122)*INDEX(PARAMETROS!$C$25:$F$25,PARAMETROS!$C$9)</f>
        <v/>
      </c>
      <c r="H122" s="14">
        <f>IF(E122="",0,INDEX(PARAMETROS!$C$25:$F$25,PARAMETROS!$C$9)/60*N(BASE!L122)*BASE!P122*(IF(INDEX(PARAMETROS!$C$27:$F$27,PARAMETROS!$C$9)="Real",BASE!N122,N(BASE!H122))*INDEX(PARAMETROS!$C$26:$F$26,PARAMETROS!$C$9)+BASE!O122))</f>
        <v/>
      </c>
      <c r="I122" s="14">
        <f>IF(F122="",0,INDEX(PARAMETROS!$C$25:$F$25,PARAMETROS!$C$9)/60*N(BASE!L122)*(IF(INDEX(PARAMETROS!$C$27:$F$27,PARAMETROS!$C$9)="Real",BASE!N122,N(BASE!H122))*INDEX(PARAMETROS!$C$26:$F$26,PARAMETROS!$C$9)+BASE!O122))</f>
        <v/>
      </c>
      <c r="J122" s="15">
        <f>MAX(IFERROR(INDEX(CAP_CELULA!$J$6:$J$65,(PARAMETROS!$C$9-1)*15+MATCH(E122,MAO_OBRA!$A$6:$A$20,0)),0),IFERROR(INDEX(USINAGEM!$I$6:$I$29,(PARAMETROS!$C$9-1)*6+MATCH(F122,PARAMETROS!$B$32:$B$37,0)),0))</f>
        <v/>
      </c>
      <c r="K122" s="12">
        <f>IF(AND(C122&lt;&gt;"",J122&gt;0,J122=SUMPRODUCT(MAX(($B$6:$B$205=B122)*($C$6:$C$205=C122)*$J$6:$J$205))),"◄ GARGALO","")</f>
        <v/>
      </c>
      <c r="L122" s="33">
        <f>H122+I122+ROW()/10000000</f>
        <v/>
      </c>
    </row>
    <row r="123">
      <c r="A123" s="11">
        <f>IF(BASE!A123="","",BASE!A123)</f>
        <v/>
      </c>
      <c r="B123" s="11">
        <f>IF(BASE!B123="","",BASE!B123)</f>
        <v/>
      </c>
      <c r="C123" s="11">
        <f>IF(BASE!C123="","",BASE!C123)</f>
        <v/>
      </c>
      <c r="D123" s="11">
        <f>IF(BASE!D123="","",BASE!D123)</f>
        <v/>
      </c>
      <c r="E123" s="11">
        <f>IF(BASE!E123="","",BASE!E123)</f>
        <v/>
      </c>
      <c r="F123" s="11">
        <f>IF(BASE!F123="","",BASE!F123)</f>
        <v/>
      </c>
      <c r="G123" s="28">
        <f>N(BASE!L123)*INDEX(PARAMETROS!$C$25:$F$25,PARAMETROS!$C$9)</f>
        <v/>
      </c>
      <c r="H123" s="14">
        <f>IF(E123="",0,INDEX(PARAMETROS!$C$25:$F$25,PARAMETROS!$C$9)/60*N(BASE!L123)*BASE!P123*(IF(INDEX(PARAMETROS!$C$27:$F$27,PARAMETROS!$C$9)="Real",BASE!N123,N(BASE!H123))*INDEX(PARAMETROS!$C$26:$F$26,PARAMETROS!$C$9)+BASE!O123))</f>
        <v/>
      </c>
      <c r="I123" s="14">
        <f>IF(F123="",0,INDEX(PARAMETROS!$C$25:$F$25,PARAMETROS!$C$9)/60*N(BASE!L123)*(IF(INDEX(PARAMETROS!$C$27:$F$27,PARAMETROS!$C$9)="Real",BASE!N123,N(BASE!H123))*INDEX(PARAMETROS!$C$26:$F$26,PARAMETROS!$C$9)+BASE!O123))</f>
        <v/>
      </c>
      <c r="J123" s="15">
        <f>MAX(IFERROR(INDEX(CAP_CELULA!$J$6:$J$65,(PARAMETROS!$C$9-1)*15+MATCH(E123,MAO_OBRA!$A$6:$A$20,0)),0),IFERROR(INDEX(USINAGEM!$I$6:$I$29,(PARAMETROS!$C$9-1)*6+MATCH(F123,PARAMETROS!$B$32:$B$37,0)),0))</f>
        <v/>
      </c>
      <c r="K123" s="12">
        <f>IF(AND(C123&lt;&gt;"",J123&gt;0,J123=SUMPRODUCT(MAX(($B$6:$B$205=B123)*($C$6:$C$205=C123)*$J$6:$J$205))),"◄ GARGALO","")</f>
        <v/>
      </c>
      <c r="L123" s="33">
        <f>H123+I123+ROW()/10000000</f>
        <v/>
      </c>
    </row>
    <row r="124">
      <c r="A124" s="11">
        <f>IF(BASE!A124="","",BASE!A124)</f>
        <v/>
      </c>
      <c r="B124" s="11">
        <f>IF(BASE!B124="","",BASE!B124)</f>
        <v/>
      </c>
      <c r="C124" s="11">
        <f>IF(BASE!C124="","",BASE!C124)</f>
        <v/>
      </c>
      <c r="D124" s="11">
        <f>IF(BASE!D124="","",BASE!D124)</f>
        <v/>
      </c>
      <c r="E124" s="11">
        <f>IF(BASE!E124="","",BASE!E124)</f>
        <v/>
      </c>
      <c r="F124" s="11">
        <f>IF(BASE!F124="","",BASE!F124)</f>
        <v/>
      </c>
      <c r="G124" s="28">
        <f>N(BASE!L124)*INDEX(PARAMETROS!$C$25:$F$25,PARAMETROS!$C$9)</f>
        <v/>
      </c>
      <c r="H124" s="14">
        <f>IF(E124="",0,INDEX(PARAMETROS!$C$25:$F$25,PARAMETROS!$C$9)/60*N(BASE!L124)*BASE!P124*(IF(INDEX(PARAMETROS!$C$27:$F$27,PARAMETROS!$C$9)="Real",BASE!N124,N(BASE!H124))*INDEX(PARAMETROS!$C$26:$F$26,PARAMETROS!$C$9)+BASE!O124))</f>
        <v/>
      </c>
      <c r="I124" s="14">
        <f>IF(F124="",0,INDEX(PARAMETROS!$C$25:$F$25,PARAMETROS!$C$9)/60*N(BASE!L124)*(IF(INDEX(PARAMETROS!$C$27:$F$27,PARAMETROS!$C$9)="Real",BASE!N124,N(BASE!H124))*INDEX(PARAMETROS!$C$26:$F$26,PARAMETROS!$C$9)+BASE!O124))</f>
        <v/>
      </c>
      <c r="J124" s="15">
        <f>MAX(IFERROR(INDEX(CAP_CELULA!$J$6:$J$65,(PARAMETROS!$C$9-1)*15+MATCH(E124,MAO_OBRA!$A$6:$A$20,0)),0),IFERROR(INDEX(USINAGEM!$I$6:$I$29,(PARAMETROS!$C$9-1)*6+MATCH(F124,PARAMETROS!$B$32:$B$37,0)),0))</f>
        <v/>
      </c>
      <c r="K124" s="12">
        <f>IF(AND(C124&lt;&gt;"",J124&gt;0,J124=SUMPRODUCT(MAX(($B$6:$B$205=B124)*($C$6:$C$205=C124)*$J$6:$J$205))),"◄ GARGALO","")</f>
        <v/>
      </c>
      <c r="L124" s="33">
        <f>H124+I124+ROW()/10000000</f>
        <v/>
      </c>
    </row>
    <row r="125">
      <c r="A125" s="11">
        <f>IF(BASE!A125="","",BASE!A125)</f>
        <v/>
      </c>
      <c r="B125" s="11">
        <f>IF(BASE!B125="","",BASE!B125)</f>
        <v/>
      </c>
      <c r="C125" s="11">
        <f>IF(BASE!C125="","",BASE!C125)</f>
        <v/>
      </c>
      <c r="D125" s="11">
        <f>IF(BASE!D125="","",BASE!D125)</f>
        <v/>
      </c>
      <c r="E125" s="11">
        <f>IF(BASE!E125="","",BASE!E125)</f>
        <v/>
      </c>
      <c r="F125" s="11">
        <f>IF(BASE!F125="","",BASE!F125)</f>
        <v/>
      </c>
      <c r="G125" s="28">
        <f>N(BASE!L125)*INDEX(PARAMETROS!$C$25:$F$25,PARAMETROS!$C$9)</f>
        <v/>
      </c>
      <c r="H125" s="14">
        <f>IF(E125="",0,INDEX(PARAMETROS!$C$25:$F$25,PARAMETROS!$C$9)/60*N(BASE!L125)*BASE!P125*(IF(INDEX(PARAMETROS!$C$27:$F$27,PARAMETROS!$C$9)="Real",BASE!N125,N(BASE!H125))*INDEX(PARAMETROS!$C$26:$F$26,PARAMETROS!$C$9)+BASE!O125))</f>
        <v/>
      </c>
      <c r="I125" s="14">
        <f>IF(F125="",0,INDEX(PARAMETROS!$C$25:$F$25,PARAMETROS!$C$9)/60*N(BASE!L125)*(IF(INDEX(PARAMETROS!$C$27:$F$27,PARAMETROS!$C$9)="Real",BASE!N125,N(BASE!H125))*INDEX(PARAMETROS!$C$26:$F$26,PARAMETROS!$C$9)+BASE!O125))</f>
        <v/>
      </c>
      <c r="J125" s="15">
        <f>MAX(IFERROR(INDEX(CAP_CELULA!$J$6:$J$65,(PARAMETROS!$C$9-1)*15+MATCH(E125,MAO_OBRA!$A$6:$A$20,0)),0),IFERROR(INDEX(USINAGEM!$I$6:$I$29,(PARAMETROS!$C$9-1)*6+MATCH(F125,PARAMETROS!$B$32:$B$37,0)),0))</f>
        <v/>
      </c>
      <c r="K125" s="12">
        <f>IF(AND(C125&lt;&gt;"",J125&gt;0,J125=SUMPRODUCT(MAX(($B$6:$B$205=B125)*($C$6:$C$205=C125)*$J$6:$J$205))),"◄ GARGALO","")</f>
        <v/>
      </c>
      <c r="L125" s="33">
        <f>H125+I125+ROW()/10000000</f>
        <v/>
      </c>
    </row>
    <row r="126">
      <c r="A126" s="11">
        <f>IF(BASE!A126="","",BASE!A126)</f>
        <v/>
      </c>
      <c r="B126" s="11">
        <f>IF(BASE!B126="","",BASE!B126)</f>
        <v/>
      </c>
      <c r="C126" s="11">
        <f>IF(BASE!C126="","",BASE!C126)</f>
        <v/>
      </c>
      <c r="D126" s="11">
        <f>IF(BASE!D126="","",BASE!D126)</f>
        <v/>
      </c>
      <c r="E126" s="11">
        <f>IF(BASE!E126="","",BASE!E126)</f>
        <v/>
      </c>
      <c r="F126" s="11">
        <f>IF(BASE!F126="","",BASE!F126)</f>
        <v/>
      </c>
      <c r="G126" s="28">
        <f>N(BASE!L126)*INDEX(PARAMETROS!$C$25:$F$25,PARAMETROS!$C$9)</f>
        <v/>
      </c>
      <c r="H126" s="14">
        <f>IF(E126="",0,INDEX(PARAMETROS!$C$25:$F$25,PARAMETROS!$C$9)/60*N(BASE!L126)*BASE!P126*(IF(INDEX(PARAMETROS!$C$27:$F$27,PARAMETROS!$C$9)="Real",BASE!N126,N(BASE!H126))*INDEX(PARAMETROS!$C$26:$F$26,PARAMETROS!$C$9)+BASE!O126))</f>
        <v/>
      </c>
      <c r="I126" s="14">
        <f>IF(F126="",0,INDEX(PARAMETROS!$C$25:$F$25,PARAMETROS!$C$9)/60*N(BASE!L126)*(IF(INDEX(PARAMETROS!$C$27:$F$27,PARAMETROS!$C$9)="Real",BASE!N126,N(BASE!H126))*INDEX(PARAMETROS!$C$26:$F$26,PARAMETROS!$C$9)+BASE!O126))</f>
        <v/>
      </c>
      <c r="J126" s="15">
        <f>MAX(IFERROR(INDEX(CAP_CELULA!$J$6:$J$65,(PARAMETROS!$C$9-1)*15+MATCH(E126,MAO_OBRA!$A$6:$A$20,0)),0),IFERROR(INDEX(USINAGEM!$I$6:$I$29,(PARAMETROS!$C$9-1)*6+MATCH(F126,PARAMETROS!$B$32:$B$37,0)),0))</f>
        <v/>
      </c>
      <c r="K126" s="12">
        <f>IF(AND(C126&lt;&gt;"",J126&gt;0,J126=SUMPRODUCT(MAX(($B$6:$B$205=B126)*($C$6:$C$205=C126)*$J$6:$J$205))),"◄ GARGALO","")</f>
        <v/>
      </c>
      <c r="L126" s="33">
        <f>H126+I126+ROW()/10000000</f>
        <v/>
      </c>
    </row>
    <row r="127">
      <c r="A127" s="11">
        <f>IF(BASE!A127="","",BASE!A127)</f>
        <v/>
      </c>
      <c r="B127" s="11">
        <f>IF(BASE!B127="","",BASE!B127)</f>
        <v/>
      </c>
      <c r="C127" s="11">
        <f>IF(BASE!C127="","",BASE!C127)</f>
        <v/>
      </c>
      <c r="D127" s="11">
        <f>IF(BASE!D127="","",BASE!D127)</f>
        <v/>
      </c>
      <c r="E127" s="11">
        <f>IF(BASE!E127="","",BASE!E127)</f>
        <v/>
      </c>
      <c r="F127" s="11">
        <f>IF(BASE!F127="","",BASE!F127)</f>
        <v/>
      </c>
      <c r="G127" s="28">
        <f>N(BASE!L127)*INDEX(PARAMETROS!$C$25:$F$25,PARAMETROS!$C$9)</f>
        <v/>
      </c>
      <c r="H127" s="14">
        <f>IF(E127="",0,INDEX(PARAMETROS!$C$25:$F$25,PARAMETROS!$C$9)/60*N(BASE!L127)*BASE!P127*(IF(INDEX(PARAMETROS!$C$27:$F$27,PARAMETROS!$C$9)="Real",BASE!N127,N(BASE!H127))*INDEX(PARAMETROS!$C$26:$F$26,PARAMETROS!$C$9)+BASE!O127))</f>
        <v/>
      </c>
      <c r="I127" s="14">
        <f>IF(F127="",0,INDEX(PARAMETROS!$C$25:$F$25,PARAMETROS!$C$9)/60*N(BASE!L127)*(IF(INDEX(PARAMETROS!$C$27:$F$27,PARAMETROS!$C$9)="Real",BASE!N127,N(BASE!H127))*INDEX(PARAMETROS!$C$26:$F$26,PARAMETROS!$C$9)+BASE!O127))</f>
        <v/>
      </c>
      <c r="J127" s="15">
        <f>MAX(IFERROR(INDEX(CAP_CELULA!$J$6:$J$65,(PARAMETROS!$C$9-1)*15+MATCH(E127,MAO_OBRA!$A$6:$A$20,0)),0),IFERROR(INDEX(USINAGEM!$I$6:$I$29,(PARAMETROS!$C$9-1)*6+MATCH(F127,PARAMETROS!$B$32:$B$37,0)),0))</f>
        <v/>
      </c>
      <c r="K127" s="12">
        <f>IF(AND(C127&lt;&gt;"",J127&gt;0,J127=SUMPRODUCT(MAX(($B$6:$B$205=B127)*($C$6:$C$205=C127)*$J$6:$J$205))),"◄ GARGALO","")</f>
        <v/>
      </c>
      <c r="L127" s="33">
        <f>H127+I127+ROW()/10000000</f>
        <v/>
      </c>
    </row>
    <row r="128">
      <c r="A128" s="11">
        <f>IF(BASE!A128="","",BASE!A128)</f>
        <v/>
      </c>
      <c r="B128" s="11">
        <f>IF(BASE!B128="","",BASE!B128)</f>
        <v/>
      </c>
      <c r="C128" s="11">
        <f>IF(BASE!C128="","",BASE!C128)</f>
        <v/>
      </c>
      <c r="D128" s="11">
        <f>IF(BASE!D128="","",BASE!D128)</f>
        <v/>
      </c>
      <c r="E128" s="11">
        <f>IF(BASE!E128="","",BASE!E128)</f>
        <v/>
      </c>
      <c r="F128" s="11">
        <f>IF(BASE!F128="","",BASE!F128)</f>
        <v/>
      </c>
      <c r="G128" s="28">
        <f>N(BASE!L128)*INDEX(PARAMETROS!$C$25:$F$25,PARAMETROS!$C$9)</f>
        <v/>
      </c>
      <c r="H128" s="14">
        <f>IF(E128="",0,INDEX(PARAMETROS!$C$25:$F$25,PARAMETROS!$C$9)/60*N(BASE!L128)*BASE!P128*(IF(INDEX(PARAMETROS!$C$27:$F$27,PARAMETROS!$C$9)="Real",BASE!N128,N(BASE!H128))*INDEX(PARAMETROS!$C$26:$F$26,PARAMETROS!$C$9)+BASE!O128))</f>
        <v/>
      </c>
      <c r="I128" s="14">
        <f>IF(F128="",0,INDEX(PARAMETROS!$C$25:$F$25,PARAMETROS!$C$9)/60*N(BASE!L128)*(IF(INDEX(PARAMETROS!$C$27:$F$27,PARAMETROS!$C$9)="Real",BASE!N128,N(BASE!H128))*INDEX(PARAMETROS!$C$26:$F$26,PARAMETROS!$C$9)+BASE!O128))</f>
        <v/>
      </c>
      <c r="J128" s="15">
        <f>MAX(IFERROR(INDEX(CAP_CELULA!$J$6:$J$65,(PARAMETROS!$C$9-1)*15+MATCH(E128,MAO_OBRA!$A$6:$A$20,0)),0),IFERROR(INDEX(USINAGEM!$I$6:$I$29,(PARAMETROS!$C$9-1)*6+MATCH(F128,PARAMETROS!$B$32:$B$37,0)),0))</f>
        <v/>
      </c>
      <c r="K128" s="12">
        <f>IF(AND(C128&lt;&gt;"",J128&gt;0,J128=SUMPRODUCT(MAX(($B$6:$B$205=B128)*($C$6:$C$205=C128)*$J$6:$J$205))),"◄ GARGALO","")</f>
        <v/>
      </c>
      <c r="L128" s="33">
        <f>H128+I128+ROW()/10000000</f>
        <v/>
      </c>
    </row>
    <row r="129">
      <c r="A129" s="11">
        <f>IF(BASE!A129="","",BASE!A129)</f>
        <v/>
      </c>
      <c r="B129" s="11">
        <f>IF(BASE!B129="","",BASE!B129)</f>
        <v/>
      </c>
      <c r="C129" s="11">
        <f>IF(BASE!C129="","",BASE!C129)</f>
        <v/>
      </c>
      <c r="D129" s="11">
        <f>IF(BASE!D129="","",BASE!D129)</f>
        <v/>
      </c>
      <c r="E129" s="11">
        <f>IF(BASE!E129="","",BASE!E129)</f>
        <v/>
      </c>
      <c r="F129" s="11">
        <f>IF(BASE!F129="","",BASE!F129)</f>
        <v/>
      </c>
      <c r="G129" s="28">
        <f>N(BASE!L129)*INDEX(PARAMETROS!$C$25:$F$25,PARAMETROS!$C$9)</f>
        <v/>
      </c>
      <c r="H129" s="14">
        <f>IF(E129="",0,INDEX(PARAMETROS!$C$25:$F$25,PARAMETROS!$C$9)/60*N(BASE!L129)*BASE!P129*(IF(INDEX(PARAMETROS!$C$27:$F$27,PARAMETROS!$C$9)="Real",BASE!N129,N(BASE!H129))*INDEX(PARAMETROS!$C$26:$F$26,PARAMETROS!$C$9)+BASE!O129))</f>
        <v/>
      </c>
      <c r="I129" s="14">
        <f>IF(F129="",0,INDEX(PARAMETROS!$C$25:$F$25,PARAMETROS!$C$9)/60*N(BASE!L129)*(IF(INDEX(PARAMETROS!$C$27:$F$27,PARAMETROS!$C$9)="Real",BASE!N129,N(BASE!H129))*INDEX(PARAMETROS!$C$26:$F$26,PARAMETROS!$C$9)+BASE!O129))</f>
        <v/>
      </c>
      <c r="J129" s="15">
        <f>MAX(IFERROR(INDEX(CAP_CELULA!$J$6:$J$65,(PARAMETROS!$C$9-1)*15+MATCH(E129,MAO_OBRA!$A$6:$A$20,0)),0),IFERROR(INDEX(USINAGEM!$I$6:$I$29,(PARAMETROS!$C$9-1)*6+MATCH(F129,PARAMETROS!$B$32:$B$37,0)),0))</f>
        <v/>
      </c>
      <c r="K129" s="12">
        <f>IF(AND(C129&lt;&gt;"",J129&gt;0,J129=SUMPRODUCT(MAX(($B$6:$B$205=B129)*($C$6:$C$205=C129)*$J$6:$J$205))),"◄ GARGALO","")</f>
        <v/>
      </c>
      <c r="L129" s="33">
        <f>H129+I129+ROW()/10000000</f>
        <v/>
      </c>
    </row>
    <row r="130">
      <c r="A130" s="11">
        <f>IF(BASE!A130="","",BASE!A130)</f>
        <v/>
      </c>
      <c r="B130" s="11">
        <f>IF(BASE!B130="","",BASE!B130)</f>
        <v/>
      </c>
      <c r="C130" s="11">
        <f>IF(BASE!C130="","",BASE!C130)</f>
        <v/>
      </c>
      <c r="D130" s="11">
        <f>IF(BASE!D130="","",BASE!D130)</f>
        <v/>
      </c>
      <c r="E130" s="11">
        <f>IF(BASE!E130="","",BASE!E130)</f>
        <v/>
      </c>
      <c r="F130" s="11">
        <f>IF(BASE!F130="","",BASE!F130)</f>
        <v/>
      </c>
      <c r="G130" s="28">
        <f>N(BASE!L130)*INDEX(PARAMETROS!$C$25:$F$25,PARAMETROS!$C$9)</f>
        <v/>
      </c>
      <c r="H130" s="14">
        <f>IF(E130="",0,INDEX(PARAMETROS!$C$25:$F$25,PARAMETROS!$C$9)/60*N(BASE!L130)*BASE!P130*(IF(INDEX(PARAMETROS!$C$27:$F$27,PARAMETROS!$C$9)="Real",BASE!N130,N(BASE!H130))*INDEX(PARAMETROS!$C$26:$F$26,PARAMETROS!$C$9)+BASE!O130))</f>
        <v/>
      </c>
      <c r="I130" s="14">
        <f>IF(F130="",0,INDEX(PARAMETROS!$C$25:$F$25,PARAMETROS!$C$9)/60*N(BASE!L130)*(IF(INDEX(PARAMETROS!$C$27:$F$27,PARAMETROS!$C$9)="Real",BASE!N130,N(BASE!H130))*INDEX(PARAMETROS!$C$26:$F$26,PARAMETROS!$C$9)+BASE!O130))</f>
        <v/>
      </c>
      <c r="J130" s="15">
        <f>MAX(IFERROR(INDEX(CAP_CELULA!$J$6:$J$65,(PARAMETROS!$C$9-1)*15+MATCH(E130,MAO_OBRA!$A$6:$A$20,0)),0),IFERROR(INDEX(USINAGEM!$I$6:$I$29,(PARAMETROS!$C$9-1)*6+MATCH(F130,PARAMETROS!$B$32:$B$37,0)),0))</f>
        <v/>
      </c>
      <c r="K130" s="12">
        <f>IF(AND(C130&lt;&gt;"",J130&gt;0,J130=SUMPRODUCT(MAX(($B$6:$B$205=B130)*($C$6:$C$205=C130)*$J$6:$J$205))),"◄ GARGALO","")</f>
        <v/>
      </c>
      <c r="L130" s="33">
        <f>H130+I130+ROW()/10000000</f>
        <v/>
      </c>
    </row>
    <row r="131">
      <c r="A131" s="11">
        <f>IF(BASE!A131="","",BASE!A131)</f>
        <v/>
      </c>
      <c r="B131" s="11">
        <f>IF(BASE!B131="","",BASE!B131)</f>
        <v/>
      </c>
      <c r="C131" s="11">
        <f>IF(BASE!C131="","",BASE!C131)</f>
        <v/>
      </c>
      <c r="D131" s="11">
        <f>IF(BASE!D131="","",BASE!D131)</f>
        <v/>
      </c>
      <c r="E131" s="11">
        <f>IF(BASE!E131="","",BASE!E131)</f>
        <v/>
      </c>
      <c r="F131" s="11">
        <f>IF(BASE!F131="","",BASE!F131)</f>
        <v/>
      </c>
      <c r="G131" s="28">
        <f>N(BASE!L131)*INDEX(PARAMETROS!$C$25:$F$25,PARAMETROS!$C$9)</f>
        <v/>
      </c>
      <c r="H131" s="14">
        <f>IF(E131="",0,INDEX(PARAMETROS!$C$25:$F$25,PARAMETROS!$C$9)/60*N(BASE!L131)*BASE!P131*(IF(INDEX(PARAMETROS!$C$27:$F$27,PARAMETROS!$C$9)="Real",BASE!N131,N(BASE!H131))*INDEX(PARAMETROS!$C$26:$F$26,PARAMETROS!$C$9)+BASE!O131))</f>
        <v/>
      </c>
      <c r="I131" s="14">
        <f>IF(F131="",0,INDEX(PARAMETROS!$C$25:$F$25,PARAMETROS!$C$9)/60*N(BASE!L131)*(IF(INDEX(PARAMETROS!$C$27:$F$27,PARAMETROS!$C$9)="Real",BASE!N131,N(BASE!H131))*INDEX(PARAMETROS!$C$26:$F$26,PARAMETROS!$C$9)+BASE!O131))</f>
        <v/>
      </c>
      <c r="J131" s="15">
        <f>MAX(IFERROR(INDEX(CAP_CELULA!$J$6:$J$65,(PARAMETROS!$C$9-1)*15+MATCH(E131,MAO_OBRA!$A$6:$A$20,0)),0),IFERROR(INDEX(USINAGEM!$I$6:$I$29,(PARAMETROS!$C$9-1)*6+MATCH(F131,PARAMETROS!$B$32:$B$37,0)),0))</f>
        <v/>
      </c>
      <c r="K131" s="12">
        <f>IF(AND(C131&lt;&gt;"",J131&gt;0,J131=SUMPRODUCT(MAX(($B$6:$B$205=B131)*($C$6:$C$205=C131)*$J$6:$J$205))),"◄ GARGALO","")</f>
        <v/>
      </c>
      <c r="L131" s="33">
        <f>H131+I131+ROW()/10000000</f>
        <v/>
      </c>
    </row>
    <row r="132">
      <c r="A132" s="11">
        <f>IF(BASE!A132="","",BASE!A132)</f>
        <v/>
      </c>
      <c r="B132" s="11">
        <f>IF(BASE!B132="","",BASE!B132)</f>
        <v/>
      </c>
      <c r="C132" s="11">
        <f>IF(BASE!C132="","",BASE!C132)</f>
        <v/>
      </c>
      <c r="D132" s="11">
        <f>IF(BASE!D132="","",BASE!D132)</f>
        <v/>
      </c>
      <c r="E132" s="11">
        <f>IF(BASE!E132="","",BASE!E132)</f>
        <v/>
      </c>
      <c r="F132" s="11">
        <f>IF(BASE!F132="","",BASE!F132)</f>
        <v/>
      </c>
      <c r="G132" s="28">
        <f>N(BASE!L132)*INDEX(PARAMETROS!$C$25:$F$25,PARAMETROS!$C$9)</f>
        <v/>
      </c>
      <c r="H132" s="14">
        <f>IF(E132="",0,INDEX(PARAMETROS!$C$25:$F$25,PARAMETROS!$C$9)/60*N(BASE!L132)*BASE!P132*(IF(INDEX(PARAMETROS!$C$27:$F$27,PARAMETROS!$C$9)="Real",BASE!N132,N(BASE!H132))*INDEX(PARAMETROS!$C$26:$F$26,PARAMETROS!$C$9)+BASE!O132))</f>
        <v/>
      </c>
      <c r="I132" s="14">
        <f>IF(F132="",0,INDEX(PARAMETROS!$C$25:$F$25,PARAMETROS!$C$9)/60*N(BASE!L132)*(IF(INDEX(PARAMETROS!$C$27:$F$27,PARAMETROS!$C$9)="Real",BASE!N132,N(BASE!H132))*INDEX(PARAMETROS!$C$26:$F$26,PARAMETROS!$C$9)+BASE!O132))</f>
        <v/>
      </c>
      <c r="J132" s="15">
        <f>MAX(IFERROR(INDEX(CAP_CELULA!$J$6:$J$65,(PARAMETROS!$C$9-1)*15+MATCH(E132,MAO_OBRA!$A$6:$A$20,0)),0),IFERROR(INDEX(USINAGEM!$I$6:$I$29,(PARAMETROS!$C$9-1)*6+MATCH(F132,PARAMETROS!$B$32:$B$37,0)),0))</f>
        <v/>
      </c>
      <c r="K132" s="12">
        <f>IF(AND(C132&lt;&gt;"",J132&gt;0,J132=SUMPRODUCT(MAX(($B$6:$B$205=B132)*($C$6:$C$205=C132)*$J$6:$J$205))),"◄ GARGALO","")</f>
        <v/>
      </c>
      <c r="L132" s="33">
        <f>H132+I132+ROW()/10000000</f>
        <v/>
      </c>
    </row>
    <row r="133">
      <c r="A133" s="11">
        <f>IF(BASE!A133="","",BASE!A133)</f>
        <v/>
      </c>
      <c r="B133" s="11">
        <f>IF(BASE!B133="","",BASE!B133)</f>
        <v/>
      </c>
      <c r="C133" s="11">
        <f>IF(BASE!C133="","",BASE!C133)</f>
        <v/>
      </c>
      <c r="D133" s="11">
        <f>IF(BASE!D133="","",BASE!D133)</f>
        <v/>
      </c>
      <c r="E133" s="11">
        <f>IF(BASE!E133="","",BASE!E133)</f>
        <v/>
      </c>
      <c r="F133" s="11">
        <f>IF(BASE!F133="","",BASE!F133)</f>
        <v/>
      </c>
      <c r="G133" s="28">
        <f>N(BASE!L133)*INDEX(PARAMETROS!$C$25:$F$25,PARAMETROS!$C$9)</f>
        <v/>
      </c>
      <c r="H133" s="14">
        <f>IF(E133="",0,INDEX(PARAMETROS!$C$25:$F$25,PARAMETROS!$C$9)/60*N(BASE!L133)*BASE!P133*(IF(INDEX(PARAMETROS!$C$27:$F$27,PARAMETROS!$C$9)="Real",BASE!N133,N(BASE!H133))*INDEX(PARAMETROS!$C$26:$F$26,PARAMETROS!$C$9)+BASE!O133))</f>
        <v/>
      </c>
      <c r="I133" s="14">
        <f>IF(F133="",0,INDEX(PARAMETROS!$C$25:$F$25,PARAMETROS!$C$9)/60*N(BASE!L133)*(IF(INDEX(PARAMETROS!$C$27:$F$27,PARAMETROS!$C$9)="Real",BASE!N133,N(BASE!H133))*INDEX(PARAMETROS!$C$26:$F$26,PARAMETROS!$C$9)+BASE!O133))</f>
        <v/>
      </c>
      <c r="J133" s="15">
        <f>MAX(IFERROR(INDEX(CAP_CELULA!$J$6:$J$65,(PARAMETROS!$C$9-1)*15+MATCH(E133,MAO_OBRA!$A$6:$A$20,0)),0),IFERROR(INDEX(USINAGEM!$I$6:$I$29,(PARAMETROS!$C$9-1)*6+MATCH(F133,PARAMETROS!$B$32:$B$37,0)),0))</f>
        <v/>
      </c>
      <c r="K133" s="12">
        <f>IF(AND(C133&lt;&gt;"",J133&gt;0,J133=SUMPRODUCT(MAX(($B$6:$B$205=B133)*($C$6:$C$205=C133)*$J$6:$J$205))),"◄ GARGALO","")</f>
        <v/>
      </c>
      <c r="L133" s="33">
        <f>H133+I133+ROW()/10000000</f>
        <v/>
      </c>
    </row>
    <row r="134">
      <c r="A134" s="11">
        <f>IF(BASE!A134="","",BASE!A134)</f>
        <v/>
      </c>
      <c r="B134" s="11">
        <f>IF(BASE!B134="","",BASE!B134)</f>
        <v/>
      </c>
      <c r="C134" s="11">
        <f>IF(BASE!C134="","",BASE!C134)</f>
        <v/>
      </c>
      <c r="D134" s="11">
        <f>IF(BASE!D134="","",BASE!D134)</f>
        <v/>
      </c>
      <c r="E134" s="11">
        <f>IF(BASE!E134="","",BASE!E134)</f>
        <v/>
      </c>
      <c r="F134" s="11">
        <f>IF(BASE!F134="","",BASE!F134)</f>
        <v/>
      </c>
      <c r="G134" s="28">
        <f>N(BASE!L134)*INDEX(PARAMETROS!$C$25:$F$25,PARAMETROS!$C$9)</f>
        <v/>
      </c>
      <c r="H134" s="14">
        <f>IF(E134="",0,INDEX(PARAMETROS!$C$25:$F$25,PARAMETROS!$C$9)/60*N(BASE!L134)*BASE!P134*(IF(INDEX(PARAMETROS!$C$27:$F$27,PARAMETROS!$C$9)="Real",BASE!N134,N(BASE!H134))*INDEX(PARAMETROS!$C$26:$F$26,PARAMETROS!$C$9)+BASE!O134))</f>
        <v/>
      </c>
      <c r="I134" s="14">
        <f>IF(F134="",0,INDEX(PARAMETROS!$C$25:$F$25,PARAMETROS!$C$9)/60*N(BASE!L134)*(IF(INDEX(PARAMETROS!$C$27:$F$27,PARAMETROS!$C$9)="Real",BASE!N134,N(BASE!H134))*INDEX(PARAMETROS!$C$26:$F$26,PARAMETROS!$C$9)+BASE!O134))</f>
        <v/>
      </c>
      <c r="J134" s="15">
        <f>MAX(IFERROR(INDEX(CAP_CELULA!$J$6:$J$65,(PARAMETROS!$C$9-1)*15+MATCH(E134,MAO_OBRA!$A$6:$A$20,0)),0),IFERROR(INDEX(USINAGEM!$I$6:$I$29,(PARAMETROS!$C$9-1)*6+MATCH(F134,PARAMETROS!$B$32:$B$37,0)),0))</f>
        <v/>
      </c>
      <c r="K134" s="12">
        <f>IF(AND(C134&lt;&gt;"",J134&gt;0,J134=SUMPRODUCT(MAX(($B$6:$B$205=B134)*($C$6:$C$205=C134)*$J$6:$J$205))),"◄ GARGALO","")</f>
        <v/>
      </c>
      <c r="L134" s="33">
        <f>H134+I134+ROW()/10000000</f>
        <v/>
      </c>
    </row>
    <row r="135">
      <c r="A135" s="11">
        <f>IF(BASE!A135="","",BASE!A135)</f>
        <v/>
      </c>
      <c r="B135" s="11">
        <f>IF(BASE!B135="","",BASE!B135)</f>
        <v/>
      </c>
      <c r="C135" s="11">
        <f>IF(BASE!C135="","",BASE!C135)</f>
        <v/>
      </c>
      <c r="D135" s="11">
        <f>IF(BASE!D135="","",BASE!D135)</f>
        <v/>
      </c>
      <c r="E135" s="11">
        <f>IF(BASE!E135="","",BASE!E135)</f>
        <v/>
      </c>
      <c r="F135" s="11">
        <f>IF(BASE!F135="","",BASE!F135)</f>
        <v/>
      </c>
      <c r="G135" s="28">
        <f>N(BASE!L135)*INDEX(PARAMETROS!$C$25:$F$25,PARAMETROS!$C$9)</f>
        <v/>
      </c>
      <c r="H135" s="14">
        <f>IF(E135="",0,INDEX(PARAMETROS!$C$25:$F$25,PARAMETROS!$C$9)/60*N(BASE!L135)*BASE!P135*(IF(INDEX(PARAMETROS!$C$27:$F$27,PARAMETROS!$C$9)="Real",BASE!N135,N(BASE!H135))*INDEX(PARAMETROS!$C$26:$F$26,PARAMETROS!$C$9)+BASE!O135))</f>
        <v/>
      </c>
      <c r="I135" s="14">
        <f>IF(F135="",0,INDEX(PARAMETROS!$C$25:$F$25,PARAMETROS!$C$9)/60*N(BASE!L135)*(IF(INDEX(PARAMETROS!$C$27:$F$27,PARAMETROS!$C$9)="Real",BASE!N135,N(BASE!H135))*INDEX(PARAMETROS!$C$26:$F$26,PARAMETROS!$C$9)+BASE!O135))</f>
        <v/>
      </c>
      <c r="J135" s="15">
        <f>MAX(IFERROR(INDEX(CAP_CELULA!$J$6:$J$65,(PARAMETROS!$C$9-1)*15+MATCH(E135,MAO_OBRA!$A$6:$A$20,0)),0),IFERROR(INDEX(USINAGEM!$I$6:$I$29,(PARAMETROS!$C$9-1)*6+MATCH(F135,PARAMETROS!$B$32:$B$37,0)),0))</f>
        <v/>
      </c>
      <c r="K135" s="12">
        <f>IF(AND(C135&lt;&gt;"",J135&gt;0,J135=SUMPRODUCT(MAX(($B$6:$B$205=B135)*($C$6:$C$205=C135)*$J$6:$J$205))),"◄ GARGALO","")</f>
        <v/>
      </c>
      <c r="L135" s="33">
        <f>H135+I135+ROW()/10000000</f>
        <v/>
      </c>
    </row>
    <row r="136">
      <c r="A136" s="11">
        <f>IF(BASE!A136="","",BASE!A136)</f>
        <v/>
      </c>
      <c r="B136" s="11">
        <f>IF(BASE!B136="","",BASE!B136)</f>
        <v/>
      </c>
      <c r="C136" s="11">
        <f>IF(BASE!C136="","",BASE!C136)</f>
        <v/>
      </c>
      <c r="D136" s="11">
        <f>IF(BASE!D136="","",BASE!D136)</f>
        <v/>
      </c>
      <c r="E136" s="11">
        <f>IF(BASE!E136="","",BASE!E136)</f>
        <v/>
      </c>
      <c r="F136" s="11">
        <f>IF(BASE!F136="","",BASE!F136)</f>
        <v/>
      </c>
      <c r="G136" s="28">
        <f>N(BASE!L136)*INDEX(PARAMETROS!$C$25:$F$25,PARAMETROS!$C$9)</f>
        <v/>
      </c>
      <c r="H136" s="14">
        <f>IF(E136="",0,INDEX(PARAMETROS!$C$25:$F$25,PARAMETROS!$C$9)/60*N(BASE!L136)*BASE!P136*(IF(INDEX(PARAMETROS!$C$27:$F$27,PARAMETROS!$C$9)="Real",BASE!N136,N(BASE!H136))*INDEX(PARAMETROS!$C$26:$F$26,PARAMETROS!$C$9)+BASE!O136))</f>
        <v/>
      </c>
      <c r="I136" s="14">
        <f>IF(F136="",0,INDEX(PARAMETROS!$C$25:$F$25,PARAMETROS!$C$9)/60*N(BASE!L136)*(IF(INDEX(PARAMETROS!$C$27:$F$27,PARAMETROS!$C$9)="Real",BASE!N136,N(BASE!H136))*INDEX(PARAMETROS!$C$26:$F$26,PARAMETROS!$C$9)+BASE!O136))</f>
        <v/>
      </c>
      <c r="J136" s="15">
        <f>MAX(IFERROR(INDEX(CAP_CELULA!$J$6:$J$65,(PARAMETROS!$C$9-1)*15+MATCH(E136,MAO_OBRA!$A$6:$A$20,0)),0),IFERROR(INDEX(USINAGEM!$I$6:$I$29,(PARAMETROS!$C$9-1)*6+MATCH(F136,PARAMETROS!$B$32:$B$37,0)),0))</f>
        <v/>
      </c>
      <c r="K136" s="12">
        <f>IF(AND(C136&lt;&gt;"",J136&gt;0,J136=SUMPRODUCT(MAX(($B$6:$B$205=B136)*($C$6:$C$205=C136)*$J$6:$J$205))),"◄ GARGALO","")</f>
        <v/>
      </c>
      <c r="L136" s="33">
        <f>H136+I136+ROW()/10000000</f>
        <v/>
      </c>
    </row>
    <row r="137">
      <c r="A137" s="11">
        <f>IF(BASE!A137="","",BASE!A137)</f>
        <v/>
      </c>
      <c r="B137" s="11">
        <f>IF(BASE!B137="","",BASE!B137)</f>
        <v/>
      </c>
      <c r="C137" s="11">
        <f>IF(BASE!C137="","",BASE!C137)</f>
        <v/>
      </c>
      <c r="D137" s="11">
        <f>IF(BASE!D137="","",BASE!D137)</f>
        <v/>
      </c>
      <c r="E137" s="11">
        <f>IF(BASE!E137="","",BASE!E137)</f>
        <v/>
      </c>
      <c r="F137" s="11">
        <f>IF(BASE!F137="","",BASE!F137)</f>
        <v/>
      </c>
      <c r="G137" s="28">
        <f>N(BASE!L137)*INDEX(PARAMETROS!$C$25:$F$25,PARAMETROS!$C$9)</f>
        <v/>
      </c>
      <c r="H137" s="14">
        <f>IF(E137="",0,INDEX(PARAMETROS!$C$25:$F$25,PARAMETROS!$C$9)/60*N(BASE!L137)*BASE!P137*(IF(INDEX(PARAMETROS!$C$27:$F$27,PARAMETROS!$C$9)="Real",BASE!N137,N(BASE!H137))*INDEX(PARAMETROS!$C$26:$F$26,PARAMETROS!$C$9)+BASE!O137))</f>
        <v/>
      </c>
      <c r="I137" s="14">
        <f>IF(F137="",0,INDEX(PARAMETROS!$C$25:$F$25,PARAMETROS!$C$9)/60*N(BASE!L137)*(IF(INDEX(PARAMETROS!$C$27:$F$27,PARAMETROS!$C$9)="Real",BASE!N137,N(BASE!H137))*INDEX(PARAMETROS!$C$26:$F$26,PARAMETROS!$C$9)+BASE!O137))</f>
        <v/>
      </c>
      <c r="J137" s="15">
        <f>MAX(IFERROR(INDEX(CAP_CELULA!$J$6:$J$65,(PARAMETROS!$C$9-1)*15+MATCH(E137,MAO_OBRA!$A$6:$A$20,0)),0),IFERROR(INDEX(USINAGEM!$I$6:$I$29,(PARAMETROS!$C$9-1)*6+MATCH(F137,PARAMETROS!$B$32:$B$37,0)),0))</f>
        <v/>
      </c>
      <c r="K137" s="12">
        <f>IF(AND(C137&lt;&gt;"",J137&gt;0,J137=SUMPRODUCT(MAX(($B$6:$B$205=B137)*($C$6:$C$205=C137)*$J$6:$J$205))),"◄ GARGALO","")</f>
        <v/>
      </c>
      <c r="L137" s="33">
        <f>H137+I137+ROW()/10000000</f>
        <v/>
      </c>
    </row>
    <row r="138">
      <c r="A138" s="11">
        <f>IF(BASE!A138="","",BASE!A138)</f>
        <v/>
      </c>
      <c r="B138" s="11">
        <f>IF(BASE!B138="","",BASE!B138)</f>
        <v/>
      </c>
      <c r="C138" s="11">
        <f>IF(BASE!C138="","",BASE!C138)</f>
        <v/>
      </c>
      <c r="D138" s="11">
        <f>IF(BASE!D138="","",BASE!D138)</f>
        <v/>
      </c>
      <c r="E138" s="11">
        <f>IF(BASE!E138="","",BASE!E138)</f>
        <v/>
      </c>
      <c r="F138" s="11">
        <f>IF(BASE!F138="","",BASE!F138)</f>
        <v/>
      </c>
      <c r="G138" s="28">
        <f>N(BASE!L138)*INDEX(PARAMETROS!$C$25:$F$25,PARAMETROS!$C$9)</f>
        <v/>
      </c>
      <c r="H138" s="14">
        <f>IF(E138="",0,INDEX(PARAMETROS!$C$25:$F$25,PARAMETROS!$C$9)/60*N(BASE!L138)*BASE!P138*(IF(INDEX(PARAMETROS!$C$27:$F$27,PARAMETROS!$C$9)="Real",BASE!N138,N(BASE!H138))*INDEX(PARAMETROS!$C$26:$F$26,PARAMETROS!$C$9)+BASE!O138))</f>
        <v/>
      </c>
      <c r="I138" s="14">
        <f>IF(F138="",0,INDEX(PARAMETROS!$C$25:$F$25,PARAMETROS!$C$9)/60*N(BASE!L138)*(IF(INDEX(PARAMETROS!$C$27:$F$27,PARAMETROS!$C$9)="Real",BASE!N138,N(BASE!H138))*INDEX(PARAMETROS!$C$26:$F$26,PARAMETROS!$C$9)+BASE!O138))</f>
        <v/>
      </c>
      <c r="J138" s="15">
        <f>MAX(IFERROR(INDEX(CAP_CELULA!$J$6:$J$65,(PARAMETROS!$C$9-1)*15+MATCH(E138,MAO_OBRA!$A$6:$A$20,0)),0),IFERROR(INDEX(USINAGEM!$I$6:$I$29,(PARAMETROS!$C$9-1)*6+MATCH(F138,PARAMETROS!$B$32:$B$37,0)),0))</f>
        <v/>
      </c>
      <c r="K138" s="12">
        <f>IF(AND(C138&lt;&gt;"",J138&gt;0,J138=SUMPRODUCT(MAX(($B$6:$B$205=B138)*($C$6:$C$205=C138)*$J$6:$J$205))),"◄ GARGALO","")</f>
        <v/>
      </c>
      <c r="L138" s="33">
        <f>H138+I138+ROW()/10000000</f>
        <v/>
      </c>
    </row>
    <row r="139">
      <c r="A139" s="11">
        <f>IF(BASE!A139="","",BASE!A139)</f>
        <v/>
      </c>
      <c r="B139" s="11">
        <f>IF(BASE!B139="","",BASE!B139)</f>
        <v/>
      </c>
      <c r="C139" s="11">
        <f>IF(BASE!C139="","",BASE!C139)</f>
        <v/>
      </c>
      <c r="D139" s="11">
        <f>IF(BASE!D139="","",BASE!D139)</f>
        <v/>
      </c>
      <c r="E139" s="11">
        <f>IF(BASE!E139="","",BASE!E139)</f>
        <v/>
      </c>
      <c r="F139" s="11">
        <f>IF(BASE!F139="","",BASE!F139)</f>
        <v/>
      </c>
      <c r="G139" s="28">
        <f>N(BASE!L139)*INDEX(PARAMETROS!$C$25:$F$25,PARAMETROS!$C$9)</f>
        <v/>
      </c>
      <c r="H139" s="14">
        <f>IF(E139="",0,INDEX(PARAMETROS!$C$25:$F$25,PARAMETROS!$C$9)/60*N(BASE!L139)*BASE!P139*(IF(INDEX(PARAMETROS!$C$27:$F$27,PARAMETROS!$C$9)="Real",BASE!N139,N(BASE!H139))*INDEX(PARAMETROS!$C$26:$F$26,PARAMETROS!$C$9)+BASE!O139))</f>
        <v/>
      </c>
      <c r="I139" s="14">
        <f>IF(F139="",0,INDEX(PARAMETROS!$C$25:$F$25,PARAMETROS!$C$9)/60*N(BASE!L139)*(IF(INDEX(PARAMETROS!$C$27:$F$27,PARAMETROS!$C$9)="Real",BASE!N139,N(BASE!H139))*INDEX(PARAMETROS!$C$26:$F$26,PARAMETROS!$C$9)+BASE!O139))</f>
        <v/>
      </c>
      <c r="J139" s="15">
        <f>MAX(IFERROR(INDEX(CAP_CELULA!$J$6:$J$65,(PARAMETROS!$C$9-1)*15+MATCH(E139,MAO_OBRA!$A$6:$A$20,0)),0),IFERROR(INDEX(USINAGEM!$I$6:$I$29,(PARAMETROS!$C$9-1)*6+MATCH(F139,PARAMETROS!$B$32:$B$37,0)),0))</f>
        <v/>
      </c>
      <c r="K139" s="12">
        <f>IF(AND(C139&lt;&gt;"",J139&gt;0,J139=SUMPRODUCT(MAX(($B$6:$B$205=B139)*($C$6:$C$205=C139)*$J$6:$J$205))),"◄ GARGALO","")</f>
        <v/>
      </c>
      <c r="L139" s="33">
        <f>H139+I139+ROW()/10000000</f>
        <v/>
      </c>
    </row>
    <row r="140">
      <c r="A140" s="11">
        <f>IF(BASE!A140="","",BASE!A140)</f>
        <v/>
      </c>
      <c r="B140" s="11">
        <f>IF(BASE!B140="","",BASE!B140)</f>
        <v/>
      </c>
      <c r="C140" s="11">
        <f>IF(BASE!C140="","",BASE!C140)</f>
        <v/>
      </c>
      <c r="D140" s="11">
        <f>IF(BASE!D140="","",BASE!D140)</f>
        <v/>
      </c>
      <c r="E140" s="11">
        <f>IF(BASE!E140="","",BASE!E140)</f>
        <v/>
      </c>
      <c r="F140" s="11">
        <f>IF(BASE!F140="","",BASE!F140)</f>
        <v/>
      </c>
      <c r="G140" s="28">
        <f>N(BASE!L140)*INDEX(PARAMETROS!$C$25:$F$25,PARAMETROS!$C$9)</f>
        <v/>
      </c>
      <c r="H140" s="14">
        <f>IF(E140="",0,INDEX(PARAMETROS!$C$25:$F$25,PARAMETROS!$C$9)/60*N(BASE!L140)*BASE!P140*(IF(INDEX(PARAMETROS!$C$27:$F$27,PARAMETROS!$C$9)="Real",BASE!N140,N(BASE!H140))*INDEX(PARAMETROS!$C$26:$F$26,PARAMETROS!$C$9)+BASE!O140))</f>
        <v/>
      </c>
      <c r="I140" s="14">
        <f>IF(F140="",0,INDEX(PARAMETROS!$C$25:$F$25,PARAMETROS!$C$9)/60*N(BASE!L140)*(IF(INDEX(PARAMETROS!$C$27:$F$27,PARAMETROS!$C$9)="Real",BASE!N140,N(BASE!H140))*INDEX(PARAMETROS!$C$26:$F$26,PARAMETROS!$C$9)+BASE!O140))</f>
        <v/>
      </c>
      <c r="J140" s="15">
        <f>MAX(IFERROR(INDEX(CAP_CELULA!$J$6:$J$65,(PARAMETROS!$C$9-1)*15+MATCH(E140,MAO_OBRA!$A$6:$A$20,0)),0),IFERROR(INDEX(USINAGEM!$I$6:$I$29,(PARAMETROS!$C$9-1)*6+MATCH(F140,PARAMETROS!$B$32:$B$37,0)),0))</f>
        <v/>
      </c>
      <c r="K140" s="12">
        <f>IF(AND(C140&lt;&gt;"",J140&gt;0,J140=SUMPRODUCT(MAX(($B$6:$B$205=B140)*($C$6:$C$205=C140)*$J$6:$J$205))),"◄ GARGALO","")</f>
        <v/>
      </c>
      <c r="L140" s="33">
        <f>H140+I140+ROW()/10000000</f>
        <v/>
      </c>
    </row>
    <row r="141">
      <c r="A141" s="11">
        <f>IF(BASE!A141="","",BASE!A141)</f>
        <v/>
      </c>
      <c r="B141" s="11">
        <f>IF(BASE!B141="","",BASE!B141)</f>
        <v/>
      </c>
      <c r="C141" s="11">
        <f>IF(BASE!C141="","",BASE!C141)</f>
        <v/>
      </c>
      <c r="D141" s="11">
        <f>IF(BASE!D141="","",BASE!D141)</f>
        <v/>
      </c>
      <c r="E141" s="11">
        <f>IF(BASE!E141="","",BASE!E141)</f>
        <v/>
      </c>
      <c r="F141" s="11">
        <f>IF(BASE!F141="","",BASE!F141)</f>
        <v/>
      </c>
      <c r="G141" s="28">
        <f>N(BASE!L141)*INDEX(PARAMETROS!$C$25:$F$25,PARAMETROS!$C$9)</f>
        <v/>
      </c>
      <c r="H141" s="14">
        <f>IF(E141="",0,INDEX(PARAMETROS!$C$25:$F$25,PARAMETROS!$C$9)/60*N(BASE!L141)*BASE!P141*(IF(INDEX(PARAMETROS!$C$27:$F$27,PARAMETROS!$C$9)="Real",BASE!N141,N(BASE!H141))*INDEX(PARAMETROS!$C$26:$F$26,PARAMETROS!$C$9)+BASE!O141))</f>
        <v/>
      </c>
      <c r="I141" s="14">
        <f>IF(F141="",0,INDEX(PARAMETROS!$C$25:$F$25,PARAMETROS!$C$9)/60*N(BASE!L141)*(IF(INDEX(PARAMETROS!$C$27:$F$27,PARAMETROS!$C$9)="Real",BASE!N141,N(BASE!H141))*INDEX(PARAMETROS!$C$26:$F$26,PARAMETROS!$C$9)+BASE!O141))</f>
        <v/>
      </c>
      <c r="J141" s="15">
        <f>MAX(IFERROR(INDEX(CAP_CELULA!$J$6:$J$65,(PARAMETROS!$C$9-1)*15+MATCH(E141,MAO_OBRA!$A$6:$A$20,0)),0),IFERROR(INDEX(USINAGEM!$I$6:$I$29,(PARAMETROS!$C$9-1)*6+MATCH(F141,PARAMETROS!$B$32:$B$37,0)),0))</f>
        <v/>
      </c>
      <c r="K141" s="12">
        <f>IF(AND(C141&lt;&gt;"",J141&gt;0,J141=SUMPRODUCT(MAX(($B$6:$B$205=B141)*($C$6:$C$205=C141)*$J$6:$J$205))),"◄ GARGALO","")</f>
        <v/>
      </c>
      <c r="L141" s="33">
        <f>H141+I141+ROW()/10000000</f>
        <v/>
      </c>
    </row>
    <row r="142">
      <c r="A142" s="11">
        <f>IF(BASE!A142="","",BASE!A142)</f>
        <v/>
      </c>
      <c r="B142" s="11">
        <f>IF(BASE!B142="","",BASE!B142)</f>
        <v/>
      </c>
      <c r="C142" s="11">
        <f>IF(BASE!C142="","",BASE!C142)</f>
        <v/>
      </c>
      <c r="D142" s="11">
        <f>IF(BASE!D142="","",BASE!D142)</f>
        <v/>
      </c>
      <c r="E142" s="11">
        <f>IF(BASE!E142="","",BASE!E142)</f>
        <v/>
      </c>
      <c r="F142" s="11">
        <f>IF(BASE!F142="","",BASE!F142)</f>
        <v/>
      </c>
      <c r="G142" s="28">
        <f>N(BASE!L142)*INDEX(PARAMETROS!$C$25:$F$25,PARAMETROS!$C$9)</f>
        <v/>
      </c>
      <c r="H142" s="14">
        <f>IF(E142="",0,INDEX(PARAMETROS!$C$25:$F$25,PARAMETROS!$C$9)/60*N(BASE!L142)*BASE!P142*(IF(INDEX(PARAMETROS!$C$27:$F$27,PARAMETROS!$C$9)="Real",BASE!N142,N(BASE!H142))*INDEX(PARAMETROS!$C$26:$F$26,PARAMETROS!$C$9)+BASE!O142))</f>
        <v/>
      </c>
      <c r="I142" s="14">
        <f>IF(F142="",0,INDEX(PARAMETROS!$C$25:$F$25,PARAMETROS!$C$9)/60*N(BASE!L142)*(IF(INDEX(PARAMETROS!$C$27:$F$27,PARAMETROS!$C$9)="Real",BASE!N142,N(BASE!H142))*INDEX(PARAMETROS!$C$26:$F$26,PARAMETROS!$C$9)+BASE!O142))</f>
        <v/>
      </c>
      <c r="J142" s="15">
        <f>MAX(IFERROR(INDEX(CAP_CELULA!$J$6:$J$65,(PARAMETROS!$C$9-1)*15+MATCH(E142,MAO_OBRA!$A$6:$A$20,0)),0),IFERROR(INDEX(USINAGEM!$I$6:$I$29,(PARAMETROS!$C$9-1)*6+MATCH(F142,PARAMETROS!$B$32:$B$37,0)),0))</f>
        <v/>
      </c>
      <c r="K142" s="12">
        <f>IF(AND(C142&lt;&gt;"",J142&gt;0,J142=SUMPRODUCT(MAX(($B$6:$B$205=B142)*($C$6:$C$205=C142)*$J$6:$J$205))),"◄ GARGALO","")</f>
        <v/>
      </c>
      <c r="L142" s="33">
        <f>H142+I142+ROW()/10000000</f>
        <v/>
      </c>
    </row>
    <row r="143">
      <c r="A143" s="11">
        <f>IF(BASE!A143="","",BASE!A143)</f>
        <v/>
      </c>
      <c r="B143" s="11">
        <f>IF(BASE!B143="","",BASE!B143)</f>
        <v/>
      </c>
      <c r="C143" s="11">
        <f>IF(BASE!C143="","",BASE!C143)</f>
        <v/>
      </c>
      <c r="D143" s="11">
        <f>IF(BASE!D143="","",BASE!D143)</f>
        <v/>
      </c>
      <c r="E143" s="11">
        <f>IF(BASE!E143="","",BASE!E143)</f>
        <v/>
      </c>
      <c r="F143" s="11">
        <f>IF(BASE!F143="","",BASE!F143)</f>
        <v/>
      </c>
      <c r="G143" s="28">
        <f>N(BASE!L143)*INDEX(PARAMETROS!$C$25:$F$25,PARAMETROS!$C$9)</f>
        <v/>
      </c>
      <c r="H143" s="14">
        <f>IF(E143="",0,INDEX(PARAMETROS!$C$25:$F$25,PARAMETROS!$C$9)/60*N(BASE!L143)*BASE!P143*(IF(INDEX(PARAMETROS!$C$27:$F$27,PARAMETROS!$C$9)="Real",BASE!N143,N(BASE!H143))*INDEX(PARAMETROS!$C$26:$F$26,PARAMETROS!$C$9)+BASE!O143))</f>
        <v/>
      </c>
      <c r="I143" s="14">
        <f>IF(F143="",0,INDEX(PARAMETROS!$C$25:$F$25,PARAMETROS!$C$9)/60*N(BASE!L143)*(IF(INDEX(PARAMETROS!$C$27:$F$27,PARAMETROS!$C$9)="Real",BASE!N143,N(BASE!H143))*INDEX(PARAMETROS!$C$26:$F$26,PARAMETROS!$C$9)+BASE!O143))</f>
        <v/>
      </c>
      <c r="J143" s="15">
        <f>MAX(IFERROR(INDEX(CAP_CELULA!$J$6:$J$65,(PARAMETROS!$C$9-1)*15+MATCH(E143,MAO_OBRA!$A$6:$A$20,0)),0),IFERROR(INDEX(USINAGEM!$I$6:$I$29,(PARAMETROS!$C$9-1)*6+MATCH(F143,PARAMETROS!$B$32:$B$37,0)),0))</f>
        <v/>
      </c>
      <c r="K143" s="12">
        <f>IF(AND(C143&lt;&gt;"",J143&gt;0,J143=SUMPRODUCT(MAX(($B$6:$B$205=B143)*($C$6:$C$205=C143)*$J$6:$J$205))),"◄ GARGALO","")</f>
        <v/>
      </c>
      <c r="L143" s="33">
        <f>H143+I143+ROW()/10000000</f>
        <v/>
      </c>
    </row>
    <row r="144">
      <c r="A144" s="11">
        <f>IF(BASE!A144="","",BASE!A144)</f>
        <v/>
      </c>
      <c r="B144" s="11">
        <f>IF(BASE!B144="","",BASE!B144)</f>
        <v/>
      </c>
      <c r="C144" s="11">
        <f>IF(BASE!C144="","",BASE!C144)</f>
        <v/>
      </c>
      <c r="D144" s="11">
        <f>IF(BASE!D144="","",BASE!D144)</f>
        <v/>
      </c>
      <c r="E144" s="11">
        <f>IF(BASE!E144="","",BASE!E144)</f>
        <v/>
      </c>
      <c r="F144" s="11">
        <f>IF(BASE!F144="","",BASE!F144)</f>
        <v/>
      </c>
      <c r="G144" s="28">
        <f>N(BASE!L144)*INDEX(PARAMETROS!$C$25:$F$25,PARAMETROS!$C$9)</f>
        <v/>
      </c>
      <c r="H144" s="14">
        <f>IF(E144="",0,INDEX(PARAMETROS!$C$25:$F$25,PARAMETROS!$C$9)/60*N(BASE!L144)*BASE!P144*(IF(INDEX(PARAMETROS!$C$27:$F$27,PARAMETROS!$C$9)="Real",BASE!N144,N(BASE!H144))*INDEX(PARAMETROS!$C$26:$F$26,PARAMETROS!$C$9)+BASE!O144))</f>
        <v/>
      </c>
      <c r="I144" s="14">
        <f>IF(F144="",0,INDEX(PARAMETROS!$C$25:$F$25,PARAMETROS!$C$9)/60*N(BASE!L144)*(IF(INDEX(PARAMETROS!$C$27:$F$27,PARAMETROS!$C$9)="Real",BASE!N144,N(BASE!H144))*INDEX(PARAMETROS!$C$26:$F$26,PARAMETROS!$C$9)+BASE!O144))</f>
        <v/>
      </c>
      <c r="J144" s="15">
        <f>MAX(IFERROR(INDEX(CAP_CELULA!$J$6:$J$65,(PARAMETROS!$C$9-1)*15+MATCH(E144,MAO_OBRA!$A$6:$A$20,0)),0),IFERROR(INDEX(USINAGEM!$I$6:$I$29,(PARAMETROS!$C$9-1)*6+MATCH(F144,PARAMETROS!$B$32:$B$37,0)),0))</f>
        <v/>
      </c>
      <c r="K144" s="12">
        <f>IF(AND(C144&lt;&gt;"",J144&gt;0,J144=SUMPRODUCT(MAX(($B$6:$B$205=B144)*($C$6:$C$205=C144)*$J$6:$J$205))),"◄ GARGALO","")</f>
        <v/>
      </c>
      <c r="L144" s="33">
        <f>H144+I144+ROW()/10000000</f>
        <v/>
      </c>
    </row>
    <row r="145">
      <c r="A145" s="11">
        <f>IF(BASE!A145="","",BASE!A145)</f>
        <v/>
      </c>
      <c r="B145" s="11">
        <f>IF(BASE!B145="","",BASE!B145)</f>
        <v/>
      </c>
      <c r="C145" s="11">
        <f>IF(BASE!C145="","",BASE!C145)</f>
        <v/>
      </c>
      <c r="D145" s="11">
        <f>IF(BASE!D145="","",BASE!D145)</f>
        <v/>
      </c>
      <c r="E145" s="11">
        <f>IF(BASE!E145="","",BASE!E145)</f>
        <v/>
      </c>
      <c r="F145" s="11">
        <f>IF(BASE!F145="","",BASE!F145)</f>
        <v/>
      </c>
      <c r="G145" s="28">
        <f>N(BASE!L145)*INDEX(PARAMETROS!$C$25:$F$25,PARAMETROS!$C$9)</f>
        <v/>
      </c>
      <c r="H145" s="14">
        <f>IF(E145="",0,INDEX(PARAMETROS!$C$25:$F$25,PARAMETROS!$C$9)/60*N(BASE!L145)*BASE!P145*(IF(INDEX(PARAMETROS!$C$27:$F$27,PARAMETROS!$C$9)="Real",BASE!N145,N(BASE!H145))*INDEX(PARAMETROS!$C$26:$F$26,PARAMETROS!$C$9)+BASE!O145))</f>
        <v/>
      </c>
      <c r="I145" s="14">
        <f>IF(F145="",0,INDEX(PARAMETROS!$C$25:$F$25,PARAMETROS!$C$9)/60*N(BASE!L145)*(IF(INDEX(PARAMETROS!$C$27:$F$27,PARAMETROS!$C$9)="Real",BASE!N145,N(BASE!H145))*INDEX(PARAMETROS!$C$26:$F$26,PARAMETROS!$C$9)+BASE!O145))</f>
        <v/>
      </c>
      <c r="J145" s="15">
        <f>MAX(IFERROR(INDEX(CAP_CELULA!$J$6:$J$65,(PARAMETROS!$C$9-1)*15+MATCH(E145,MAO_OBRA!$A$6:$A$20,0)),0),IFERROR(INDEX(USINAGEM!$I$6:$I$29,(PARAMETROS!$C$9-1)*6+MATCH(F145,PARAMETROS!$B$32:$B$37,0)),0))</f>
        <v/>
      </c>
      <c r="K145" s="12">
        <f>IF(AND(C145&lt;&gt;"",J145&gt;0,J145=SUMPRODUCT(MAX(($B$6:$B$205=B145)*($C$6:$C$205=C145)*$J$6:$J$205))),"◄ GARGALO","")</f>
        <v/>
      </c>
      <c r="L145" s="33">
        <f>H145+I145+ROW()/10000000</f>
        <v/>
      </c>
    </row>
    <row r="146">
      <c r="A146" s="11">
        <f>IF(BASE!A146="","",BASE!A146)</f>
        <v/>
      </c>
      <c r="B146" s="11">
        <f>IF(BASE!B146="","",BASE!B146)</f>
        <v/>
      </c>
      <c r="C146" s="11">
        <f>IF(BASE!C146="","",BASE!C146)</f>
        <v/>
      </c>
      <c r="D146" s="11">
        <f>IF(BASE!D146="","",BASE!D146)</f>
        <v/>
      </c>
      <c r="E146" s="11">
        <f>IF(BASE!E146="","",BASE!E146)</f>
        <v/>
      </c>
      <c r="F146" s="11">
        <f>IF(BASE!F146="","",BASE!F146)</f>
        <v/>
      </c>
      <c r="G146" s="28">
        <f>N(BASE!L146)*INDEX(PARAMETROS!$C$25:$F$25,PARAMETROS!$C$9)</f>
        <v/>
      </c>
      <c r="H146" s="14">
        <f>IF(E146="",0,INDEX(PARAMETROS!$C$25:$F$25,PARAMETROS!$C$9)/60*N(BASE!L146)*BASE!P146*(IF(INDEX(PARAMETROS!$C$27:$F$27,PARAMETROS!$C$9)="Real",BASE!N146,N(BASE!H146))*INDEX(PARAMETROS!$C$26:$F$26,PARAMETROS!$C$9)+BASE!O146))</f>
        <v/>
      </c>
      <c r="I146" s="14">
        <f>IF(F146="",0,INDEX(PARAMETROS!$C$25:$F$25,PARAMETROS!$C$9)/60*N(BASE!L146)*(IF(INDEX(PARAMETROS!$C$27:$F$27,PARAMETROS!$C$9)="Real",BASE!N146,N(BASE!H146))*INDEX(PARAMETROS!$C$26:$F$26,PARAMETROS!$C$9)+BASE!O146))</f>
        <v/>
      </c>
      <c r="J146" s="15">
        <f>MAX(IFERROR(INDEX(CAP_CELULA!$J$6:$J$65,(PARAMETROS!$C$9-1)*15+MATCH(E146,MAO_OBRA!$A$6:$A$20,0)),0),IFERROR(INDEX(USINAGEM!$I$6:$I$29,(PARAMETROS!$C$9-1)*6+MATCH(F146,PARAMETROS!$B$32:$B$37,0)),0))</f>
        <v/>
      </c>
      <c r="K146" s="12">
        <f>IF(AND(C146&lt;&gt;"",J146&gt;0,J146=SUMPRODUCT(MAX(($B$6:$B$205=B146)*($C$6:$C$205=C146)*$J$6:$J$205))),"◄ GARGALO","")</f>
        <v/>
      </c>
      <c r="L146" s="33">
        <f>H146+I146+ROW()/10000000</f>
        <v/>
      </c>
    </row>
    <row r="147">
      <c r="A147" s="11">
        <f>IF(BASE!A147="","",BASE!A147)</f>
        <v/>
      </c>
      <c r="B147" s="11">
        <f>IF(BASE!B147="","",BASE!B147)</f>
        <v/>
      </c>
      <c r="C147" s="11">
        <f>IF(BASE!C147="","",BASE!C147)</f>
        <v/>
      </c>
      <c r="D147" s="11">
        <f>IF(BASE!D147="","",BASE!D147)</f>
        <v/>
      </c>
      <c r="E147" s="11">
        <f>IF(BASE!E147="","",BASE!E147)</f>
        <v/>
      </c>
      <c r="F147" s="11">
        <f>IF(BASE!F147="","",BASE!F147)</f>
        <v/>
      </c>
      <c r="G147" s="28">
        <f>N(BASE!L147)*INDEX(PARAMETROS!$C$25:$F$25,PARAMETROS!$C$9)</f>
        <v/>
      </c>
      <c r="H147" s="14">
        <f>IF(E147="",0,INDEX(PARAMETROS!$C$25:$F$25,PARAMETROS!$C$9)/60*N(BASE!L147)*BASE!P147*(IF(INDEX(PARAMETROS!$C$27:$F$27,PARAMETROS!$C$9)="Real",BASE!N147,N(BASE!H147))*INDEX(PARAMETROS!$C$26:$F$26,PARAMETROS!$C$9)+BASE!O147))</f>
        <v/>
      </c>
      <c r="I147" s="14">
        <f>IF(F147="",0,INDEX(PARAMETROS!$C$25:$F$25,PARAMETROS!$C$9)/60*N(BASE!L147)*(IF(INDEX(PARAMETROS!$C$27:$F$27,PARAMETROS!$C$9)="Real",BASE!N147,N(BASE!H147))*INDEX(PARAMETROS!$C$26:$F$26,PARAMETROS!$C$9)+BASE!O147))</f>
        <v/>
      </c>
      <c r="J147" s="15">
        <f>MAX(IFERROR(INDEX(CAP_CELULA!$J$6:$J$65,(PARAMETROS!$C$9-1)*15+MATCH(E147,MAO_OBRA!$A$6:$A$20,0)),0),IFERROR(INDEX(USINAGEM!$I$6:$I$29,(PARAMETROS!$C$9-1)*6+MATCH(F147,PARAMETROS!$B$32:$B$37,0)),0))</f>
        <v/>
      </c>
      <c r="K147" s="12">
        <f>IF(AND(C147&lt;&gt;"",J147&gt;0,J147=SUMPRODUCT(MAX(($B$6:$B$205=B147)*($C$6:$C$205=C147)*$J$6:$J$205))),"◄ GARGALO","")</f>
        <v/>
      </c>
      <c r="L147" s="33">
        <f>H147+I147+ROW()/10000000</f>
        <v/>
      </c>
    </row>
    <row r="148">
      <c r="A148" s="11">
        <f>IF(BASE!A148="","",BASE!A148)</f>
        <v/>
      </c>
      <c r="B148" s="11">
        <f>IF(BASE!B148="","",BASE!B148)</f>
        <v/>
      </c>
      <c r="C148" s="11">
        <f>IF(BASE!C148="","",BASE!C148)</f>
        <v/>
      </c>
      <c r="D148" s="11">
        <f>IF(BASE!D148="","",BASE!D148)</f>
        <v/>
      </c>
      <c r="E148" s="11">
        <f>IF(BASE!E148="","",BASE!E148)</f>
        <v/>
      </c>
      <c r="F148" s="11">
        <f>IF(BASE!F148="","",BASE!F148)</f>
        <v/>
      </c>
      <c r="G148" s="28">
        <f>N(BASE!L148)*INDEX(PARAMETROS!$C$25:$F$25,PARAMETROS!$C$9)</f>
        <v/>
      </c>
      <c r="H148" s="14">
        <f>IF(E148="",0,INDEX(PARAMETROS!$C$25:$F$25,PARAMETROS!$C$9)/60*N(BASE!L148)*BASE!P148*(IF(INDEX(PARAMETROS!$C$27:$F$27,PARAMETROS!$C$9)="Real",BASE!N148,N(BASE!H148))*INDEX(PARAMETROS!$C$26:$F$26,PARAMETROS!$C$9)+BASE!O148))</f>
        <v/>
      </c>
      <c r="I148" s="14">
        <f>IF(F148="",0,INDEX(PARAMETROS!$C$25:$F$25,PARAMETROS!$C$9)/60*N(BASE!L148)*(IF(INDEX(PARAMETROS!$C$27:$F$27,PARAMETROS!$C$9)="Real",BASE!N148,N(BASE!H148))*INDEX(PARAMETROS!$C$26:$F$26,PARAMETROS!$C$9)+BASE!O148))</f>
        <v/>
      </c>
      <c r="J148" s="15">
        <f>MAX(IFERROR(INDEX(CAP_CELULA!$J$6:$J$65,(PARAMETROS!$C$9-1)*15+MATCH(E148,MAO_OBRA!$A$6:$A$20,0)),0),IFERROR(INDEX(USINAGEM!$I$6:$I$29,(PARAMETROS!$C$9-1)*6+MATCH(F148,PARAMETROS!$B$32:$B$37,0)),0))</f>
        <v/>
      </c>
      <c r="K148" s="12">
        <f>IF(AND(C148&lt;&gt;"",J148&gt;0,J148=SUMPRODUCT(MAX(($B$6:$B$205=B148)*($C$6:$C$205=C148)*$J$6:$J$205))),"◄ GARGALO","")</f>
        <v/>
      </c>
      <c r="L148" s="33">
        <f>H148+I148+ROW()/10000000</f>
        <v/>
      </c>
    </row>
    <row r="149">
      <c r="A149" s="11">
        <f>IF(BASE!A149="","",BASE!A149)</f>
        <v/>
      </c>
      <c r="B149" s="11">
        <f>IF(BASE!B149="","",BASE!B149)</f>
        <v/>
      </c>
      <c r="C149" s="11">
        <f>IF(BASE!C149="","",BASE!C149)</f>
        <v/>
      </c>
      <c r="D149" s="11">
        <f>IF(BASE!D149="","",BASE!D149)</f>
        <v/>
      </c>
      <c r="E149" s="11">
        <f>IF(BASE!E149="","",BASE!E149)</f>
        <v/>
      </c>
      <c r="F149" s="11">
        <f>IF(BASE!F149="","",BASE!F149)</f>
        <v/>
      </c>
      <c r="G149" s="28">
        <f>N(BASE!L149)*INDEX(PARAMETROS!$C$25:$F$25,PARAMETROS!$C$9)</f>
        <v/>
      </c>
      <c r="H149" s="14">
        <f>IF(E149="",0,INDEX(PARAMETROS!$C$25:$F$25,PARAMETROS!$C$9)/60*N(BASE!L149)*BASE!P149*(IF(INDEX(PARAMETROS!$C$27:$F$27,PARAMETROS!$C$9)="Real",BASE!N149,N(BASE!H149))*INDEX(PARAMETROS!$C$26:$F$26,PARAMETROS!$C$9)+BASE!O149))</f>
        <v/>
      </c>
      <c r="I149" s="14">
        <f>IF(F149="",0,INDEX(PARAMETROS!$C$25:$F$25,PARAMETROS!$C$9)/60*N(BASE!L149)*(IF(INDEX(PARAMETROS!$C$27:$F$27,PARAMETROS!$C$9)="Real",BASE!N149,N(BASE!H149))*INDEX(PARAMETROS!$C$26:$F$26,PARAMETROS!$C$9)+BASE!O149))</f>
        <v/>
      </c>
      <c r="J149" s="15">
        <f>MAX(IFERROR(INDEX(CAP_CELULA!$J$6:$J$65,(PARAMETROS!$C$9-1)*15+MATCH(E149,MAO_OBRA!$A$6:$A$20,0)),0),IFERROR(INDEX(USINAGEM!$I$6:$I$29,(PARAMETROS!$C$9-1)*6+MATCH(F149,PARAMETROS!$B$32:$B$37,0)),0))</f>
        <v/>
      </c>
      <c r="K149" s="12">
        <f>IF(AND(C149&lt;&gt;"",J149&gt;0,J149=SUMPRODUCT(MAX(($B$6:$B$205=B149)*($C$6:$C$205=C149)*$J$6:$J$205))),"◄ GARGALO","")</f>
        <v/>
      </c>
      <c r="L149" s="33">
        <f>H149+I149+ROW()/10000000</f>
        <v/>
      </c>
    </row>
    <row r="150">
      <c r="A150" s="11">
        <f>IF(BASE!A150="","",BASE!A150)</f>
        <v/>
      </c>
      <c r="B150" s="11">
        <f>IF(BASE!B150="","",BASE!B150)</f>
        <v/>
      </c>
      <c r="C150" s="11">
        <f>IF(BASE!C150="","",BASE!C150)</f>
        <v/>
      </c>
      <c r="D150" s="11">
        <f>IF(BASE!D150="","",BASE!D150)</f>
        <v/>
      </c>
      <c r="E150" s="11">
        <f>IF(BASE!E150="","",BASE!E150)</f>
        <v/>
      </c>
      <c r="F150" s="11">
        <f>IF(BASE!F150="","",BASE!F150)</f>
        <v/>
      </c>
      <c r="G150" s="28">
        <f>N(BASE!L150)*INDEX(PARAMETROS!$C$25:$F$25,PARAMETROS!$C$9)</f>
        <v/>
      </c>
      <c r="H150" s="14">
        <f>IF(E150="",0,INDEX(PARAMETROS!$C$25:$F$25,PARAMETROS!$C$9)/60*N(BASE!L150)*BASE!P150*(IF(INDEX(PARAMETROS!$C$27:$F$27,PARAMETROS!$C$9)="Real",BASE!N150,N(BASE!H150))*INDEX(PARAMETROS!$C$26:$F$26,PARAMETROS!$C$9)+BASE!O150))</f>
        <v/>
      </c>
      <c r="I150" s="14">
        <f>IF(F150="",0,INDEX(PARAMETROS!$C$25:$F$25,PARAMETROS!$C$9)/60*N(BASE!L150)*(IF(INDEX(PARAMETROS!$C$27:$F$27,PARAMETROS!$C$9)="Real",BASE!N150,N(BASE!H150))*INDEX(PARAMETROS!$C$26:$F$26,PARAMETROS!$C$9)+BASE!O150))</f>
        <v/>
      </c>
      <c r="J150" s="15">
        <f>MAX(IFERROR(INDEX(CAP_CELULA!$J$6:$J$65,(PARAMETROS!$C$9-1)*15+MATCH(E150,MAO_OBRA!$A$6:$A$20,0)),0),IFERROR(INDEX(USINAGEM!$I$6:$I$29,(PARAMETROS!$C$9-1)*6+MATCH(F150,PARAMETROS!$B$32:$B$37,0)),0))</f>
        <v/>
      </c>
      <c r="K150" s="12">
        <f>IF(AND(C150&lt;&gt;"",J150&gt;0,J150=SUMPRODUCT(MAX(($B$6:$B$205=B150)*($C$6:$C$205=C150)*$J$6:$J$205))),"◄ GARGALO","")</f>
        <v/>
      </c>
      <c r="L150" s="33">
        <f>H150+I150+ROW()/10000000</f>
        <v/>
      </c>
    </row>
    <row r="151">
      <c r="A151" s="11">
        <f>IF(BASE!A151="","",BASE!A151)</f>
        <v/>
      </c>
      <c r="B151" s="11">
        <f>IF(BASE!B151="","",BASE!B151)</f>
        <v/>
      </c>
      <c r="C151" s="11">
        <f>IF(BASE!C151="","",BASE!C151)</f>
        <v/>
      </c>
      <c r="D151" s="11">
        <f>IF(BASE!D151="","",BASE!D151)</f>
        <v/>
      </c>
      <c r="E151" s="11">
        <f>IF(BASE!E151="","",BASE!E151)</f>
        <v/>
      </c>
      <c r="F151" s="11">
        <f>IF(BASE!F151="","",BASE!F151)</f>
        <v/>
      </c>
      <c r="G151" s="28">
        <f>N(BASE!L151)*INDEX(PARAMETROS!$C$25:$F$25,PARAMETROS!$C$9)</f>
        <v/>
      </c>
      <c r="H151" s="14">
        <f>IF(E151="",0,INDEX(PARAMETROS!$C$25:$F$25,PARAMETROS!$C$9)/60*N(BASE!L151)*BASE!P151*(IF(INDEX(PARAMETROS!$C$27:$F$27,PARAMETROS!$C$9)="Real",BASE!N151,N(BASE!H151))*INDEX(PARAMETROS!$C$26:$F$26,PARAMETROS!$C$9)+BASE!O151))</f>
        <v/>
      </c>
      <c r="I151" s="14">
        <f>IF(F151="",0,INDEX(PARAMETROS!$C$25:$F$25,PARAMETROS!$C$9)/60*N(BASE!L151)*(IF(INDEX(PARAMETROS!$C$27:$F$27,PARAMETROS!$C$9)="Real",BASE!N151,N(BASE!H151))*INDEX(PARAMETROS!$C$26:$F$26,PARAMETROS!$C$9)+BASE!O151))</f>
        <v/>
      </c>
      <c r="J151" s="15">
        <f>MAX(IFERROR(INDEX(CAP_CELULA!$J$6:$J$65,(PARAMETROS!$C$9-1)*15+MATCH(E151,MAO_OBRA!$A$6:$A$20,0)),0),IFERROR(INDEX(USINAGEM!$I$6:$I$29,(PARAMETROS!$C$9-1)*6+MATCH(F151,PARAMETROS!$B$32:$B$37,0)),0))</f>
        <v/>
      </c>
      <c r="K151" s="12">
        <f>IF(AND(C151&lt;&gt;"",J151&gt;0,J151=SUMPRODUCT(MAX(($B$6:$B$205=B151)*($C$6:$C$205=C151)*$J$6:$J$205))),"◄ GARGALO","")</f>
        <v/>
      </c>
      <c r="L151" s="33">
        <f>H151+I151+ROW()/10000000</f>
        <v/>
      </c>
    </row>
    <row r="152">
      <c r="A152" s="11">
        <f>IF(BASE!A152="","",BASE!A152)</f>
        <v/>
      </c>
      <c r="B152" s="11">
        <f>IF(BASE!B152="","",BASE!B152)</f>
        <v/>
      </c>
      <c r="C152" s="11">
        <f>IF(BASE!C152="","",BASE!C152)</f>
        <v/>
      </c>
      <c r="D152" s="11">
        <f>IF(BASE!D152="","",BASE!D152)</f>
        <v/>
      </c>
      <c r="E152" s="11">
        <f>IF(BASE!E152="","",BASE!E152)</f>
        <v/>
      </c>
      <c r="F152" s="11">
        <f>IF(BASE!F152="","",BASE!F152)</f>
        <v/>
      </c>
      <c r="G152" s="28">
        <f>N(BASE!L152)*INDEX(PARAMETROS!$C$25:$F$25,PARAMETROS!$C$9)</f>
        <v/>
      </c>
      <c r="H152" s="14">
        <f>IF(E152="",0,INDEX(PARAMETROS!$C$25:$F$25,PARAMETROS!$C$9)/60*N(BASE!L152)*BASE!P152*(IF(INDEX(PARAMETROS!$C$27:$F$27,PARAMETROS!$C$9)="Real",BASE!N152,N(BASE!H152))*INDEX(PARAMETROS!$C$26:$F$26,PARAMETROS!$C$9)+BASE!O152))</f>
        <v/>
      </c>
      <c r="I152" s="14">
        <f>IF(F152="",0,INDEX(PARAMETROS!$C$25:$F$25,PARAMETROS!$C$9)/60*N(BASE!L152)*(IF(INDEX(PARAMETROS!$C$27:$F$27,PARAMETROS!$C$9)="Real",BASE!N152,N(BASE!H152))*INDEX(PARAMETROS!$C$26:$F$26,PARAMETROS!$C$9)+BASE!O152))</f>
        <v/>
      </c>
      <c r="J152" s="15">
        <f>MAX(IFERROR(INDEX(CAP_CELULA!$J$6:$J$65,(PARAMETROS!$C$9-1)*15+MATCH(E152,MAO_OBRA!$A$6:$A$20,0)),0),IFERROR(INDEX(USINAGEM!$I$6:$I$29,(PARAMETROS!$C$9-1)*6+MATCH(F152,PARAMETROS!$B$32:$B$37,0)),0))</f>
        <v/>
      </c>
      <c r="K152" s="12">
        <f>IF(AND(C152&lt;&gt;"",J152&gt;0,J152=SUMPRODUCT(MAX(($B$6:$B$205=B152)*($C$6:$C$205=C152)*$J$6:$J$205))),"◄ GARGALO","")</f>
        <v/>
      </c>
      <c r="L152" s="33">
        <f>H152+I152+ROW()/10000000</f>
        <v/>
      </c>
    </row>
    <row r="153">
      <c r="A153" s="11">
        <f>IF(BASE!A153="","",BASE!A153)</f>
        <v/>
      </c>
      <c r="B153" s="11">
        <f>IF(BASE!B153="","",BASE!B153)</f>
        <v/>
      </c>
      <c r="C153" s="11">
        <f>IF(BASE!C153="","",BASE!C153)</f>
        <v/>
      </c>
      <c r="D153" s="11">
        <f>IF(BASE!D153="","",BASE!D153)</f>
        <v/>
      </c>
      <c r="E153" s="11">
        <f>IF(BASE!E153="","",BASE!E153)</f>
        <v/>
      </c>
      <c r="F153" s="11">
        <f>IF(BASE!F153="","",BASE!F153)</f>
        <v/>
      </c>
      <c r="G153" s="28">
        <f>N(BASE!L153)*INDEX(PARAMETROS!$C$25:$F$25,PARAMETROS!$C$9)</f>
        <v/>
      </c>
      <c r="H153" s="14">
        <f>IF(E153="",0,INDEX(PARAMETROS!$C$25:$F$25,PARAMETROS!$C$9)/60*N(BASE!L153)*BASE!P153*(IF(INDEX(PARAMETROS!$C$27:$F$27,PARAMETROS!$C$9)="Real",BASE!N153,N(BASE!H153))*INDEX(PARAMETROS!$C$26:$F$26,PARAMETROS!$C$9)+BASE!O153))</f>
        <v/>
      </c>
      <c r="I153" s="14">
        <f>IF(F153="",0,INDEX(PARAMETROS!$C$25:$F$25,PARAMETROS!$C$9)/60*N(BASE!L153)*(IF(INDEX(PARAMETROS!$C$27:$F$27,PARAMETROS!$C$9)="Real",BASE!N153,N(BASE!H153))*INDEX(PARAMETROS!$C$26:$F$26,PARAMETROS!$C$9)+BASE!O153))</f>
        <v/>
      </c>
      <c r="J153" s="15">
        <f>MAX(IFERROR(INDEX(CAP_CELULA!$J$6:$J$65,(PARAMETROS!$C$9-1)*15+MATCH(E153,MAO_OBRA!$A$6:$A$20,0)),0),IFERROR(INDEX(USINAGEM!$I$6:$I$29,(PARAMETROS!$C$9-1)*6+MATCH(F153,PARAMETROS!$B$32:$B$37,0)),0))</f>
        <v/>
      </c>
      <c r="K153" s="12">
        <f>IF(AND(C153&lt;&gt;"",J153&gt;0,J153=SUMPRODUCT(MAX(($B$6:$B$205=B153)*($C$6:$C$205=C153)*$J$6:$J$205))),"◄ GARGALO","")</f>
        <v/>
      </c>
      <c r="L153" s="33">
        <f>H153+I153+ROW()/10000000</f>
        <v/>
      </c>
    </row>
    <row r="154">
      <c r="A154" s="11">
        <f>IF(BASE!A154="","",BASE!A154)</f>
        <v/>
      </c>
      <c r="B154" s="11">
        <f>IF(BASE!B154="","",BASE!B154)</f>
        <v/>
      </c>
      <c r="C154" s="11">
        <f>IF(BASE!C154="","",BASE!C154)</f>
        <v/>
      </c>
      <c r="D154" s="11">
        <f>IF(BASE!D154="","",BASE!D154)</f>
        <v/>
      </c>
      <c r="E154" s="11">
        <f>IF(BASE!E154="","",BASE!E154)</f>
        <v/>
      </c>
      <c r="F154" s="11">
        <f>IF(BASE!F154="","",BASE!F154)</f>
        <v/>
      </c>
      <c r="G154" s="28">
        <f>N(BASE!L154)*INDEX(PARAMETROS!$C$25:$F$25,PARAMETROS!$C$9)</f>
        <v/>
      </c>
      <c r="H154" s="14">
        <f>IF(E154="",0,INDEX(PARAMETROS!$C$25:$F$25,PARAMETROS!$C$9)/60*N(BASE!L154)*BASE!P154*(IF(INDEX(PARAMETROS!$C$27:$F$27,PARAMETROS!$C$9)="Real",BASE!N154,N(BASE!H154))*INDEX(PARAMETROS!$C$26:$F$26,PARAMETROS!$C$9)+BASE!O154))</f>
        <v/>
      </c>
      <c r="I154" s="14">
        <f>IF(F154="",0,INDEX(PARAMETROS!$C$25:$F$25,PARAMETROS!$C$9)/60*N(BASE!L154)*(IF(INDEX(PARAMETROS!$C$27:$F$27,PARAMETROS!$C$9)="Real",BASE!N154,N(BASE!H154))*INDEX(PARAMETROS!$C$26:$F$26,PARAMETROS!$C$9)+BASE!O154))</f>
        <v/>
      </c>
      <c r="J154" s="15">
        <f>MAX(IFERROR(INDEX(CAP_CELULA!$J$6:$J$65,(PARAMETROS!$C$9-1)*15+MATCH(E154,MAO_OBRA!$A$6:$A$20,0)),0),IFERROR(INDEX(USINAGEM!$I$6:$I$29,(PARAMETROS!$C$9-1)*6+MATCH(F154,PARAMETROS!$B$32:$B$37,0)),0))</f>
        <v/>
      </c>
      <c r="K154" s="12">
        <f>IF(AND(C154&lt;&gt;"",J154&gt;0,J154=SUMPRODUCT(MAX(($B$6:$B$205=B154)*($C$6:$C$205=C154)*$J$6:$J$205))),"◄ GARGALO","")</f>
        <v/>
      </c>
      <c r="L154" s="33">
        <f>H154+I154+ROW()/10000000</f>
        <v/>
      </c>
    </row>
    <row r="155">
      <c r="A155" s="11">
        <f>IF(BASE!A155="","",BASE!A155)</f>
        <v/>
      </c>
      <c r="B155" s="11">
        <f>IF(BASE!B155="","",BASE!B155)</f>
        <v/>
      </c>
      <c r="C155" s="11">
        <f>IF(BASE!C155="","",BASE!C155)</f>
        <v/>
      </c>
      <c r="D155" s="11">
        <f>IF(BASE!D155="","",BASE!D155)</f>
        <v/>
      </c>
      <c r="E155" s="11">
        <f>IF(BASE!E155="","",BASE!E155)</f>
        <v/>
      </c>
      <c r="F155" s="11">
        <f>IF(BASE!F155="","",BASE!F155)</f>
        <v/>
      </c>
      <c r="G155" s="28">
        <f>N(BASE!L155)*INDEX(PARAMETROS!$C$25:$F$25,PARAMETROS!$C$9)</f>
        <v/>
      </c>
      <c r="H155" s="14">
        <f>IF(E155="",0,INDEX(PARAMETROS!$C$25:$F$25,PARAMETROS!$C$9)/60*N(BASE!L155)*BASE!P155*(IF(INDEX(PARAMETROS!$C$27:$F$27,PARAMETROS!$C$9)="Real",BASE!N155,N(BASE!H155))*INDEX(PARAMETROS!$C$26:$F$26,PARAMETROS!$C$9)+BASE!O155))</f>
        <v/>
      </c>
      <c r="I155" s="14">
        <f>IF(F155="",0,INDEX(PARAMETROS!$C$25:$F$25,PARAMETROS!$C$9)/60*N(BASE!L155)*(IF(INDEX(PARAMETROS!$C$27:$F$27,PARAMETROS!$C$9)="Real",BASE!N155,N(BASE!H155))*INDEX(PARAMETROS!$C$26:$F$26,PARAMETROS!$C$9)+BASE!O155))</f>
        <v/>
      </c>
      <c r="J155" s="15">
        <f>MAX(IFERROR(INDEX(CAP_CELULA!$J$6:$J$65,(PARAMETROS!$C$9-1)*15+MATCH(E155,MAO_OBRA!$A$6:$A$20,0)),0),IFERROR(INDEX(USINAGEM!$I$6:$I$29,(PARAMETROS!$C$9-1)*6+MATCH(F155,PARAMETROS!$B$32:$B$37,0)),0))</f>
        <v/>
      </c>
      <c r="K155" s="12">
        <f>IF(AND(C155&lt;&gt;"",J155&gt;0,J155=SUMPRODUCT(MAX(($B$6:$B$205=B155)*($C$6:$C$205=C155)*$J$6:$J$205))),"◄ GARGALO","")</f>
        <v/>
      </c>
      <c r="L155" s="33">
        <f>H155+I155+ROW()/10000000</f>
        <v/>
      </c>
    </row>
    <row r="156">
      <c r="A156" s="11">
        <f>IF(BASE!A156="","",BASE!A156)</f>
        <v/>
      </c>
      <c r="B156" s="11">
        <f>IF(BASE!B156="","",BASE!B156)</f>
        <v/>
      </c>
      <c r="C156" s="11">
        <f>IF(BASE!C156="","",BASE!C156)</f>
        <v/>
      </c>
      <c r="D156" s="11">
        <f>IF(BASE!D156="","",BASE!D156)</f>
        <v/>
      </c>
      <c r="E156" s="11">
        <f>IF(BASE!E156="","",BASE!E156)</f>
        <v/>
      </c>
      <c r="F156" s="11">
        <f>IF(BASE!F156="","",BASE!F156)</f>
        <v/>
      </c>
      <c r="G156" s="28">
        <f>N(BASE!L156)*INDEX(PARAMETROS!$C$25:$F$25,PARAMETROS!$C$9)</f>
        <v/>
      </c>
      <c r="H156" s="14">
        <f>IF(E156="",0,INDEX(PARAMETROS!$C$25:$F$25,PARAMETROS!$C$9)/60*N(BASE!L156)*BASE!P156*(IF(INDEX(PARAMETROS!$C$27:$F$27,PARAMETROS!$C$9)="Real",BASE!N156,N(BASE!H156))*INDEX(PARAMETROS!$C$26:$F$26,PARAMETROS!$C$9)+BASE!O156))</f>
        <v/>
      </c>
      <c r="I156" s="14">
        <f>IF(F156="",0,INDEX(PARAMETROS!$C$25:$F$25,PARAMETROS!$C$9)/60*N(BASE!L156)*(IF(INDEX(PARAMETROS!$C$27:$F$27,PARAMETROS!$C$9)="Real",BASE!N156,N(BASE!H156))*INDEX(PARAMETROS!$C$26:$F$26,PARAMETROS!$C$9)+BASE!O156))</f>
        <v/>
      </c>
      <c r="J156" s="15">
        <f>MAX(IFERROR(INDEX(CAP_CELULA!$J$6:$J$65,(PARAMETROS!$C$9-1)*15+MATCH(E156,MAO_OBRA!$A$6:$A$20,0)),0),IFERROR(INDEX(USINAGEM!$I$6:$I$29,(PARAMETROS!$C$9-1)*6+MATCH(F156,PARAMETROS!$B$32:$B$37,0)),0))</f>
        <v/>
      </c>
      <c r="K156" s="12">
        <f>IF(AND(C156&lt;&gt;"",J156&gt;0,J156=SUMPRODUCT(MAX(($B$6:$B$205=B156)*($C$6:$C$205=C156)*$J$6:$J$205))),"◄ GARGALO","")</f>
        <v/>
      </c>
      <c r="L156" s="33">
        <f>H156+I156+ROW()/10000000</f>
        <v/>
      </c>
    </row>
    <row r="157">
      <c r="A157" s="11">
        <f>IF(BASE!A157="","",BASE!A157)</f>
        <v/>
      </c>
      <c r="B157" s="11">
        <f>IF(BASE!B157="","",BASE!B157)</f>
        <v/>
      </c>
      <c r="C157" s="11">
        <f>IF(BASE!C157="","",BASE!C157)</f>
        <v/>
      </c>
      <c r="D157" s="11">
        <f>IF(BASE!D157="","",BASE!D157)</f>
        <v/>
      </c>
      <c r="E157" s="11">
        <f>IF(BASE!E157="","",BASE!E157)</f>
        <v/>
      </c>
      <c r="F157" s="11">
        <f>IF(BASE!F157="","",BASE!F157)</f>
        <v/>
      </c>
      <c r="G157" s="28">
        <f>N(BASE!L157)*INDEX(PARAMETROS!$C$25:$F$25,PARAMETROS!$C$9)</f>
        <v/>
      </c>
      <c r="H157" s="14">
        <f>IF(E157="",0,INDEX(PARAMETROS!$C$25:$F$25,PARAMETROS!$C$9)/60*N(BASE!L157)*BASE!P157*(IF(INDEX(PARAMETROS!$C$27:$F$27,PARAMETROS!$C$9)="Real",BASE!N157,N(BASE!H157))*INDEX(PARAMETROS!$C$26:$F$26,PARAMETROS!$C$9)+BASE!O157))</f>
        <v/>
      </c>
      <c r="I157" s="14">
        <f>IF(F157="",0,INDEX(PARAMETROS!$C$25:$F$25,PARAMETROS!$C$9)/60*N(BASE!L157)*(IF(INDEX(PARAMETROS!$C$27:$F$27,PARAMETROS!$C$9)="Real",BASE!N157,N(BASE!H157))*INDEX(PARAMETROS!$C$26:$F$26,PARAMETROS!$C$9)+BASE!O157))</f>
        <v/>
      </c>
      <c r="J157" s="15">
        <f>MAX(IFERROR(INDEX(CAP_CELULA!$J$6:$J$65,(PARAMETROS!$C$9-1)*15+MATCH(E157,MAO_OBRA!$A$6:$A$20,0)),0),IFERROR(INDEX(USINAGEM!$I$6:$I$29,(PARAMETROS!$C$9-1)*6+MATCH(F157,PARAMETROS!$B$32:$B$37,0)),0))</f>
        <v/>
      </c>
      <c r="K157" s="12">
        <f>IF(AND(C157&lt;&gt;"",J157&gt;0,J157=SUMPRODUCT(MAX(($B$6:$B$205=B157)*($C$6:$C$205=C157)*$J$6:$J$205))),"◄ GARGALO","")</f>
        <v/>
      </c>
      <c r="L157" s="33">
        <f>H157+I157+ROW()/10000000</f>
        <v/>
      </c>
    </row>
    <row r="158">
      <c r="A158" s="11">
        <f>IF(BASE!A158="","",BASE!A158)</f>
        <v/>
      </c>
      <c r="B158" s="11">
        <f>IF(BASE!B158="","",BASE!B158)</f>
        <v/>
      </c>
      <c r="C158" s="11">
        <f>IF(BASE!C158="","",BASE!C158)</f>
        <v/>
      </c>
      <c r="D158" s="11">
        <f>IF(BASE!D158="","",BASE!D158)</f>
        <v/>
      </c>
      <c r="E158" s="11">
        <f>IF(BASE!E158="","",BASE!E158)</f>
        <v/>
      </c>
      <c r="F158" s="11">
        <f>IF(BASE!F158="","",BASE!F158)</f>
        <v/>
      </c>
      <c r="G158" s="28">
        <f>N(BASE!L158)*INDEX(PARAMETROS!$C$25:$F$25,PARAMETROS!$C$9)</f>
        <v/>
      </c>
      <c r="H158" s="14">
        <f>IF(E158="",0,INDEX(PARAMETROS!$C$25:$F$25,PARAMETROS!$C$9)/60*N(BASE!L158)*BASE!P158*(IF(INDEX(PARAMETROS!$C$27:$F$27,PARAMETROS!$C$9)="Real",BASE!N158,N(BASE!H158))*INDEX(PARAMETROS!$C$26:$F$26,PARAMETROS!$C$9)+BASE!O158))</f>
        <v/>
      </c>
      <c r="I158" s="14">
        <f>IF(F158="",0,INDEX(PARAMETROS!$C$25:$F$25,PARAMETROS!$C$9)/60*N(BASE!L158)*(IF(INDEX(PARAMETROS!$C$27:$F$27,PARAMETROS!$C$9)="Real",BASE!N158,N(BASE!H158))*INDEX(PARAMETROS!$C$26:$F$26,PARAMETROS!$C$9)+BASE!O158))</f>
        <v/>
      </c>
      <c r="J158" s="15">
        <f>MAX(IFERROR(INDEX(CAP_CELULA!$J$6:$J$65,(PARAMETROS!$C$9-1)*15+MATCH(E158,MAO_OBRA!$A$6:$A$20,0)),0),IFERROR(INDEX(USINAGEM!$I$6:$I$29,(PARAMETROS!$C$9-1)*6+MATCH(F158,PARAMETROS!$B$32:$B$37,0)),0))</f>
        <v/>
      </c>
      <c r="K158" s="12">
        <f>IF(AND(C158&lt;&gt;"",J158&gt;0,J158=SUMPRODUCT(MAX(($B$6:$B$205=B158)*($C$6:$C$205=C158)*$J$6:$J$205))),"◄ GARGALO","")</f>
        <v/>
      </c>
      <c r="L158" s="33">
        <f>H158+I158+ROW()/10000000</f>
        <v/>
      </c>
    </row>
    <row r="159">
      <c r="A159" s="11">
        <f>IF(BASE!A159="","",BASE!A159)</f>
        <v/>
      </c>
      <c r="B159" s="11">
        <f>IF(BASE!B159="","",BASE!B159)</f>
        <v/>
      </c>
      <c r="C159" s="11">
        <f>IF(BASE!C159="","",BASE!C159)</f>
        <v/>
      </c>
      <c r="D159" s="11">
        <f>IF(BASE!D159="","",BASE!D159)</f>
        <v/>
      </c>
      <c r="E159" s="11">
        <f>IF(BASE!E159="","",BASE!E159)</f>
        <v/>
      </c>
      <c r="F159" s="11">
        <f>IF(BASE!F159="","",BASE!F159)</f>
        <v/>
      </c>
      <c r="G159" s="28">
        <f>N(BASE!L159)*INDEX(PARAMETROS!$C$25:$F$25,PARAMETROS!$C$9)</f>
        <v/>
      </c>
      <c r="H159" s="14">
        <f>IF(E159="",0,INDEX(PARAMETROS!$C$25:$F$25,PARAMETROS!$C$9)/60*N(BASE!L159)*BASE!P159*(IF(INDEX(PARAMETROS!$C$27:$F$27,PARAMETROS!$C$9)="Real",BASE!N159,N(BASE!H159))*INDEX(PARAMETROS!$C$26:$F$26,PARAMETROS!$C$9)+BASE!O159))</f>
        <v/>
      </c>
      <c r="I159" s="14">
        <f>IF(F159="",0,INDEX(PARAMETROS!$C$25:$F$25,PARAMETROS!$C$9)/60*N(BASE!L159)*(IF(INDEX(PARAMETROS!$C$27:$F$27,PARAMETROS!$C$9)="Real",BASE!N159,N(BASE!H159))*INDEX(PARAMETROS!$C$26:$F$26,PARAMETROS!$C$9)+BASE!O159))</f>
        <v/>
      </c>
      <c r="J159" s="15">
        <f>MAX(IFERROR(INDEX(CAP_CELULA!$J$6:$J$65,(PARAMETROS!$C$9-1)*15+MATCH(E159,MAO_OBRA!$A$6:$A$20,0)),0),IFERROR(INDEX(USINAGEM!$I$6:$I$29,(PARAMETROS!$C$9-1)*6+MATCH(F159,PARAMETROS!$B$32:$B$37,0)),0))</f>
        <v/>
      </c>
      <c r="K159" s="12">
        <f>IF(AND(C159&lt;&gt;"",J159&gt;0,J159=SUMPRODUCT(MAX(($B$6:$B$205=B159)*($C$6:$C$205=C159)*$J$6:$J$205))),"◄ GARGALO","")</f>
        <v/>
      </c>
      <c r="L159" s="33">
        <f>H159+I159+ROW()/10000000</f>
        <v/>
      </c>
    </row>
    <row r="160">
      <c r="A160" s="11">
        <f>IF(BASE!A160="","",BASE!A160)</f>
        <v/>
      </c>
      <c r="B160" s="11">
        <f>IF(BASE!B160="","",BASE!B160)</f>
        <v/>
      </c>
      <c r="C160" s="11">
        <f>IF(BASE!C160="","",BASE!C160)</f>
        <v/>
      </c>
      <c r="D160" s="11">
        <f>IF(BASE!D160="","",BASE!D160)</f>
        <v/>
      </c>
      <c r="E160" s="11">
        <f>IF(BASE!E160="","",BASE!E160)</f>
        <v/>
      </c>
      <c r="F160" s="11">
        <f>IF(BASE!F160="","",BASE!F160)</f>
        <v/>
      </c>
      <c r="G160" s="28">
        <f>N(BASE!L160)*INDEX(PARAMETROS!$C$25:$F$25,PARAMETROS!$C$9)</f>
        <v/>
      </c>
      <c r="H160" s="14">
        <f>IF(E160="",0,INDEX(PARAMETROS!$C$25:$F$25,PARAMETROS!$C$9)/60*N(BASE!L160)*BASE!P160*(IF(INDEX(PARAMETROS!$C$27:$F$27,PARAMETROS!$C$9)="Real",BASE!N160,N(BASE!H160))*INDEX(PARAMETROS!$C$26:$F$26,PARAMETROS!$C$9)+BASE!O160))</f>
        <v/>
      </c>
      <c r="I160" s="14">
        <f>IF(F160="",0,INDEX(PARAMETROS!$C$25:$F$25,PARAMETROS!$C$9)/60*N(BASE!L160)*(IF(INDEX(PARAMETROS!$C$27:$F$27,PARAMETROS!$C$9)="Real",BASE!N160,N(BASE!H160))*INDEX(PARAMETROS!$C$26:$F$26,PARAMETROS!$C$9)+BASE!O160))</f>
        <v/>
      </c>
      <c r="J160" s="15">
        <f>MAX(IFERROR(INDEX(CAP_CELULA!$J$6:$J$65,(PARAMETROS!$C$9-1)*15+MATCH(E160,MAO_OBRA!$A$6:$A$20,0)),0),IFERROR(INDEX(USINAGEM!$I$6:$I$29,(PARAMETROS!$C$9-1)*6+MATCH(F160,PARAMETROS!$B$32:$B$37,0)),0))</f>
        <v/>
      </c>
      <c r="K160" s="12">
        <f>IF(AND(C160&lt;&gt;"",J160&gt;0,J160=SUMPRODUCT(MAX(($B$6:$B$205=B160)*($C$6:$C$205=C160)*$J$6:$J$205))),"◄ GARGALO","")</f>
        <v/>
      </c>
      <c r="L160" s="33">
        <f>H160+I160+ROW()/10000000</f>
        <v/>
      </c>
    </row>
    <row r="161">
      <c r="A161" s="11">
        <f>IF(BASE!A161="","",BASE!A161)</f>
        <v/>
      </c>
      <c r="B161" s="11">
        <f>IF(BASE!B161="","",BASE!B161)</f>
        <v/>
      </c>
      <c r="C161" s="11">
        <f>IF(BASE!C161="","",BASE!C161)</f>
        <v/>
      </c>
      <c r="D161" s="11">
        <f>IF(BASE!D161="","",BASE!D161)</f>
        <v/>
      </c>
      <c r="E161" s="11">
        <f>IF(BASE!E161="","",BASE!E161)</f>
        <v/>
      </c>
      <c r="F161" s="11">
        <f>IF(BASE!F161="","",BASE!F161)</f>
        <v/>
      </c>
      <c r="G161" s="28">
        <f>N(BASE!L161)*INDEX(PARAMETROS!$C$25:$F$25,PARAMETROS!$C$9)</f>
        <v/>
      </c>
      <c r="H161" s="14">
        <f>IF(E161="",0,INDEX(PARAMETROS!$C$25:$F$25,PARAMETROS!$C$9)/60*N(BASE!L161)*BASE!P161*(IF(INDEX(PARAMETROS!$C$27:$F$27,PARAMETROS!$C$9)="Real",BASE!N161,N(BASE!H161))*INDEX(PARAMETROS!$C$26:$F$26,PARAMETROS!$C$9)+BASE!O161))</f>
        <v/>
      </c>
      <c r="I161" s="14">
        <f>IF(F161="",0,INDEX(PARAMETROS!$C$25:$F$25,PARAMETROS!$C$9)/60*N(BASE!L161)*(IF(INDEX(PARAMETROS!$C$27:$F$27,PARAMETROS!$C$9)="Real",BASE!N161,N(BASE!H161))*INDEX(PARAMETROS!$C$26:$F$26,PARAMETROS!$C$9)+BASE!O161))</f>
        <v/>
      </c>
      <c r="J161" s="15">
        <f>MAX(IFERROR(INDEX(CAP_CELULA!$J$6:$J$65,(PARAMETROS!$C$9-1)*15+MATCH(E161,MAO_OBRA!$A$6:$A$20,0)),0),IFERROR(INDEX(USINAGEM!$I$6:$I$29,(PARAMETROS!$C$9-1)*6+MATCH(F161,PARAMETROS!$B$32:$B$37,0)),0))</f>
        <v/>
      </c>
      <c r="K161" s="12">
        <f>IF(AND(C161&lt;&gt;"",J161&gt;0,J161=SUMPRODUCT(MAX(($B$6:$B$205=B161)*($C$6:$C$205=C161)*$J$6:$J$205))),"◄ GARGALO","")</f>
        <v/>
      </c>
      <c r="L161" s="33">
        <f>H161+I161+ROW()/10000000</f>
        <v/>
      </c>
    </row>
    <row r="162">
      <c r="A162" s="11">
        <f>IF(BASE!A162="","",BASE!A162)</f>
        <v/>
      </c>
      <c r="B162" s="11">
        <f>IF(BASE!B162="","",BASE!B162)</f>
        <v/>
      </c>
      <c r="C162" s="11">
        <f>IF(BASE!C162="","",BASE!C162)</f>
        <v/>
      </c>
      <c r="D162" s="11">
        <f>IF(BASE!D162="","",BASE!D162)</f>
        <v/>
      </c>
      <c r="E162" s="11">
        <f>IF(BASE!E162="","",BASE!E162)</f>
        <v/>
      </c>
      <c r="F162" s="11">
        <f>IF(BASE!F162="","",BASE!F162)</f>
        <v/>
      </c>
      <c r="G162" s="28">
        <f>N(BASE!L162)*INDEX(PARAMETROS!$C$25:$F$25,PARAMETROS!$C$9)</f>
        <v/>
      </c>
      <c r="H162" s="14">
        <f>IF(E162="",0,INDEX(PARAMETROS!$C$25:$F$25,PARAMETROS!$C$9)/60*N(BASE!L162)*BASE!P162*(IF(INDEX(PARAMETROS!$C$27:$F$27,PARAMETROS!$C$9)="Real",BASE!N162,N(BASE!H162))*INDEX(PARAMETROS!$C$26:$F$26,PARAMETROS!$C$9)+BASE!O162))</f>
        <v/>
      </c>
      <c r="I162" s="14">
        <f>IF(F162="",0,INDEX(PARAMETROS!$C$25:$F$25,PARAMETROS!$C$9)/60*N(BASE!L162)*(IF(INDEX(PARAMETROS!$C$27:$F$27,PARAMETROS!$C$9)="Real",BASE!N162,N(BASE!H162))*INDEX(PARAMETROS!$C$26:$F$26,PARAMETROS!$C$9)+BASE!O162))</f>
        <v/>
      </c>
      <c r="J162" s="15">
        <f>MAX(IFERROR(INDEX(CAP_CELULA!$J$6:$J$65,(PARAMETROS!$C$9-1)*15+MATCH(E162,MAO_OBRA!$A$6:$A$20,0)),0),IFERROR(INDEX(USINAGEM!$I$6:$I$29,(PARAMETROS!$C$9-1)*6+MATCH(F162,PARAMETROS!$B$32:$B$37,0)),0))</f>
        <v/>
      </c>
      <c r="K162" s="12">
        <f>IF(AND(C162&lt;&gt;"",J162&gt;0,J162=SUMPRODUCT(MAX(($B$6:$B$205=B162)*($C$6:$C$205=C162)*$J$6:$J$205))),"◄ GARGALO","")</f>
        <v/>
      </c>
      <c r="L162" s="33">
        <f>H162+I162+ROW()/10000000</f>
        <v/>
      </c>
    </row>
    <row r="163">
      <c r="A163" s="11">
        <f>IF(BASE!A163="","",BASE!A163)</f>
        <v/>
      </c>
      <c r="B163" s="11">
        <f>IF(BASE!B163="","",BASE!B163)</f>
        <v/>
      </c>
      <c r="C163" s="11">
        <f>IF(BASE!C163="","",BASE!C163)</f>
        <v/>
      </c>
      <c r="D163" s="11">
        <f>IF(BASE!D163="","",BASE!D163)</f>
        <v/>
      </c>
      <c r="E163" s="11">
        <f>IF(BASE!E163="","",BASE!E163)</f>
        <v/>
      </c>
      <c r="F163" s="11">
        <f>IF(BASE!F163="","",BASE!F163)</f>
        <v/>
      </c>
      <c r="G163" s="28">
        <f>N(BASE!L163)*INDEX(PARAMETROS!$C$25:$F$25,PARAMETROS!$C$9)</f>
        <v/>
      </c>
      <c r="H163" s="14">
        <f>IF(E163="",0,INDEX(PARAMETROS!$C$25:$F$25,PARAMETROS!$C$9)/60*N(BASE!L163)*BASE!P163*(IF(INDEX(PARAMETROS!$C$27:$F$27,PARAMETROS!$C$9)="Real",BASE!N163,N(BASE!H163))*INDEX(PARAMETROS!$C$26:$F$26,PARAMETROS!$C$9)+BASE!O163))</f>
        <v/>
      </c>
      <c r="I163" s="14">
        <f>IF(F163="",0,INDEX(PARAMETROS!$C$25:$F$25,PARAMETROS!$C$9)/60*N(BASE!L163)*(IF(INDEX(PARAMETROS!$C$27:$F$27,PARAMETROS!$C$9)="Real",BASE!N163,N(BASE!H163))*INDEX(PARAMETROS!$C$26:$F$26,PARAMETROS!$C$9)+BASE!O163))</f>
        <v/>
      </c>
      <c r="J163" s="15">
        <f>MAX(IFERROR(INDEX(CAP_CELULA!$J$6:$J$65,(PARAMETROS!$C$9-1)*15+MATCH(E163,MAO_OBRA!$A$6:$A$20,0)),0),IFERROR(INDEX(USINAGEM!$I$6:$I$29,(PARAMETROS!$C$9-1)*6+MATCH(F163,PARAMETROS!$B$32:$B$37,0)),0))</f>
        <v/>
      </c>
      <c r="K163" s="12">
        <f>IF(AND(C163&lt;&gt;"",J163&gt;0,J163=SUMPRODUCT(MAX(($B$6:$B$205=B163)*($C$6:$C$205=C163)*$J$6:$J$205))),"◄ GARGALO","")</f>
        <v/>
      </c>
      <c r="L163" s="33">
        <f>H163+I163+ROW()/10000000</f>
        <v/>
      </c>
    </row>
    <row r="164">
      <c r="A164" s="11">
        <f>IF(BASE!A164="","",BASE!A164)</f>
        <v/>
      </c>
      <c r="B164" s="11">
        <f>IF(BASE!B164="","",BASE!B164)</f>
        <v/>
      </c>
      <c r="C164" s="11">
        <f>IF(BASE!C164="","",BASE!C164)</f>
        <v/>
      </c>
      <c r="D164" s="11">
        <f>IF(BASE!D164="","",BASE!D164)</f>
        <v/>
      </c>
      <c r="E164" s="11">
        <f>IF(BASE!E164="","",BASE!E164)</f>
        <v/>
      </c>
      <c r="F164" s="11">
        <f>IF(BASE!F164="","",BASE!F164)</f>
        <v/>
      </c>
      <c r="G164" s="28">
        <f>N(BASE!L164)*INDEX(PARAMETROS!$C$25:$F$25,PARAMETROS!$C$9)</f>
        <v/>
      </c>
      <c r="H164" s="14">
        <f>IF(E164="",0,INDEX(PARAMETROS!$C$25:$F$25,PARAMETROS!$C$9)/60*N(BASE!L164)*BASE!P164*(IF(INDEX(PARAMETROS!$C$27:$F$27,PARAMETROS!$C$9)="Real",BASE!N164,N(BASE!H164))*INDEX(PARAMETROS!$C$26:$F$26,PARAMETROS!$C$9)+BASE!O164))</f>
        <v/>
      </c>
      <c r="I164" s="14">
        <f>IF(F164="",0,INDEX(PARAMETROS!$C$25:$F$25,PARAMETROS!$C$9)/60*N(BASE!L164)*(IF(INDEX(PARAMETROS!$C$27:$F$27,PARAMETROS!$C$9)="Real",BASE!N164,N(BASE!H164))*INDEX(PARAMETROS!$C$26:$F$26,PARAMETROS!$C$9)+BASE!O164))</f>
        <v/>
      </c>
      <c r="J164" s="15">
        <f>MAX(IFERROR(INDEX(CAP_CELULA!$J$6:$J$65,(PARAMETROS!$C$9-1)*15+MATCH(E164,MAO_OBRA!$A$6:$A$20,0)),0),IFERROR(INDEX(USINAGEM!$I$6:$I$29,(PARAMETROS!$C$9-1)*6+MATCH(F164,PARAMETROS!$B$32:$B$37,0)),0))</f>
        <v/>
      </c>
      <c r="K164" s="12">
        <f>IF(AND(C164&lt;&gt;"",J164&gt;0,J164=SUMPRODUCT(MAX(($B$6:$B$205=B164)*($C$6:$C$205=C164)*$J$6:$J$205))),"◄ GARGALO","")</f>
        <v/>
      </c>
      <c r="L164" s="33">
        <f>H164+I164+ROW()/10000000</f>
        <v/>
      </c>
    </row>
    <row r="165">
      <c r="A165" s="11">
        <f>IF(BASE!A165="","",BASE!A165)</f>
        <v/>
      </c>
      <c r="B165" s="11">
        <f>IF(BASE!B165="","",BASE!B165)</f>
        <v/>
      </c>
      <c r="C165" s="11">
        <f>IF(BASE!C165="","",BASE!C165)</f>
        <v/>
      </c>
      <c r="D165" s="11">
        <f>IF(BASE!D165="","",BASE!D165)</f>
        <v/>
      </c>
      <c r="E165" s="11">
        <f>IF(BASE!E165="","",BASE!E165)</f>
        <v/>
      </c>
      <c r="F165" s="11">
        <f>IF(BASE!F165="","",BASE!F165)</f>
        <v/>
      </c>
      <c r="G165" s="28">
        <f>N(BASE!L165)*INDEX(PARAMETROS!$C$25:$F$25,PARAMETROS!$C$9)</f>
        <v/>
      </c>
      <c r="H165" s="14">
        <f>IF(E165="",0,INDEX(PARAMETROS!$C$25:$F$25,PARAMETROS!$C$9)/60*N(BASE!L165)*BASE!P165*(IF(INDEX(PARAMETROS!$C$27:$F$27,PARAMETROS!$C$9)="Real",BASE!N165,N(BASE!H165))*INDEX(PARAMETROS!$C$26:$F$26,PARAMETROS!$C$9)+BASE!O165))</f>
        <v/>
      </c>
      <c r="I165" s="14">
        <f>IF(F165="",0,INDEX(PARAMETROS!$C$25:$F$25,PARAMETROS!$C$9)/60*N(BASE!L165)*(IF(INDEX(PARAMETROS!$C$27:$F$27,PARAMETROS!$C$9)="Real",BASE!N165,N(BASE!H165))*INDEX(PARAMETROS!$C$26:$F$26,PARAMETROS!$C$9)+BASE!O165))</f>
        <v/>
      </c>
      <c r="J165" s="15">
        <f>MAX(IFERROR(INDEX(CAP_CELULA!$J$6:$J$65,(PARAMETROS!$C$9-1)*15+MATCH(E165,MAO_OBRA!$A$6:$A$20,0)),0),IFERROR(INDEX(USINAGEM!$I$6:$I$29,(PARAMETROS!$C$9-1)*6+MATCH(F165,PARAMETROS!$B$32:$B$37,0)),0))</f>
        <v/>
      </c>
      <c r="K165" s="12">
        <f>IF(AND(C165&lt;&gt;"",J165&gt;0,J165=SUMPRODUCT(MAX(($B$6:$B$205=B165)*($C$6:$C$205=C165)*$J$6:$J$205))),"◄ GARGALO","")</f>
        <v/>
      </c>
      <c r="L165" s="33">
        <f>H165+I165+ROW()/10000000</f>
        <v/>
      </c>
    </row>
    <row r="166">
      <c r="A166" s="11">
        <f>IF(BASE!A166="","",BASE!A166)</f>
        <v/>
      </c>
      <c r="B166" s="11">
        <f>IF(BASE!B166="","",BASE!B166)</f>
        <v/>
      </c>
      <c r="C166" s="11">
        <f>IF(BASE!C166="","",BASE!C166)</f>
        <v/>
      </c>
      <c r="D166" s="11">
        <f>IF(BASE!D166="","",BASE!D166)</f>
        <v/>
      </c>
      <c r="E166" s="11">
        <f>IF(BASE!E166="","",BASE!E166)</f>
        <v/>
      </c>
      <c r="F166" s="11">
        <f>IF(BASE!F166="","",BASE!F166)</f>
        <v/>
      </c>
      <c r="G166" s="28">
        <f>N(BASE!L166)*INDEX(PARAMETROS!$C$25:$F$25,PARAMETROS!$C$9)</f>
        <v/>
      </c>
      <c r="H166" s="14">
        <f>IF(E166="",0,INDEX(PARAMETROS!$C$25:$F$25,PARAMETROS!$C$9)/60*N(BASE!L166)*BASE!P166*(IF(INDEX(PARAMETROS!$C$27:$F$27,PARAMETROS!$C$9)="Real",BASE!N166,N(BASE!H166))*INDEX(PARAMETROS!$C$26:$F$26,PARAMETROS!$C$9)+BASE!O166))</f>
        <v/>
      </c>
      <c r="I166" s="14">
        <f>IF(F166="",0,INDEX(PARAMETROS!$C$25:$F$25,PARAMETROS!$C$9)/60*N(BASE!L166)*(IF(INDEX(PARAMETROS!$C$27:$F$27,PARAMETROS!$C$9)="Real",BASE!N166,N(BASE!H166))*INDEX(PARAMETROS!$C$26:$F$26,PARAMETROS!$C$9)+BASE!O166))</f>
        <v/>
      </c>
      <c r="J166" s="15">
        <f>MAX(IFERROR(INDEX(CAP_CELULA!$J$6:$J$65,(PARAMETROS!$C$9-1)*15+MATCH(E166,MAO_OBRA!$A$6:$A$20,0)),0),IFERROR(INDEX(USINAGEM!$I$6:$I$29,(PARAMETROS!$C$9-1)*6+MATCH(F166,PARAMETROS!$B$32:$B$37,0)),0))</f>
        <v/>
      </c>
      <c r="K166" s="12">
        <f>IF(AND(C166&lt;&gt;"",J166&gt;0,J166=SUMPRODUCT(MAX(($B$6:$B$205=B166)*($C$6:$C$205=C166)*$J$6:$J$205))),"◄ GARGALO","")</f>
        <v/>
      </c>
      <c r="L166" s="33">
        <f>H166+I166+ROW()/10000000</f>
        <v/>
      </c>
    </row>
    <row r="167">
      <c r="A167" s="11">
        <f>IF(BASE!A167="","",BASE!A167)</f>
        <v/>
      </c>
      <c r="B167" s="11">
        <f>IF(BASE!B167="","",BASE!B167)</f>
        <v/>
      </c>
      <c r="C167" s="11">
        <f>IF(BASE!C167="","",BASE!C167)</f>
        <v/>
      </c>
      <c r="D167" s="11">
        <f>IF(BASE!D167="","",BASE!D167)</f>
        <v/>
      </c>
      <c r="E167" s="11">
        <f>IF(BASE!E167="","",BASE!E167)</f>
        <v/>
      </c>
      <c r="F167" s="11">
        <f>IF(BASE!F167="","",BASE!F167)</f>
        <v/>
      </c>
      <c r="G167" s="28">
        <f>N(BASE!L167)*INDEX(PARAMETROS!$C$25:$F$25,PARAMETROS!$C$9)</f>
        <v/>
      </c>
      <c r="H167" s="14">
        <f>IF(E167="",0,INDEX(PARAMETROS!$C$25:$F$25,PARAMETROS!$C$9)/60*N(BASE!L167)*BASE!P167*(IF(INDEX(PARAMETROS!$C$27:$F$27,PARAMETROS!$C$9)="Real",BASE!N167,N(BASE!H167))*INDEX(PARAMETROS!$C$26:$F$26,PARAMETROS!$C$9)+BASE!O167))</f>
        <v/>
      </c>
      <c r="I167" s="14">
        <f>IF(F167="",0,INDEX(PARAMETROS!$C$25:$F$25,PARAMETROS!$C$9)/60*N(BASE!L167)*(IF(INDEX(PARAMETROS!$C$27:$F$27,PARAMETROS!$C$9)="Real",BASE!N167,N(BASE!H167))*INDEX(PARAMETROS!$C$26:$F$26,PARAMETROS!$C$9)+BASE!O167))</f>
        <v/>
      </c>
      <c r="J167" s="15">
        <f>MAX(IFERROR(INDEX(CAP_CELULA!$J$6:$J$65,(PARAMETROS!$C$9-1)*15+MATCH(E167,MAO_OBRA!$A$6:$A$20,0)),0),IFERROR(INDEX(USINAGEM!$I$6:$I$29,(PARAMETROS!$C$9-1)*6+MATCH(F167,PARAMETROS!$B$32:$B$37,0)),0))</f>
        <v/>
      </c>
      <c r="K167" s="12">
        <f>IF(AND(C167&lt;&gt;"",J167&gt;0,J167=SUMPRODUCT(MAX(($B$6:$B$205=B167)*($C$6:$C$205=C167)*$J$6:$J$205))),"◄ GARGALO","")</f>
        <v/>
      </c>
      <c r="L167" s="33">
        <f>H167+I167+ROW()/10000000</f>
        <v/>
      </c>
    </row>
    <row r="168">
      <c r="A168" s="11">
        <f>IF(BASE!A168="","",BASE!A168)</f>
        <v/>
      </c>
      <c r="B168" s="11">
        <f>IF(BASE!B168="","",BASE!B168)</f>
        <v/>
      </c>
      <c r="C168" s="11">
        <f>IF(BASE!C168="","",BASE!C168)</f>
        <v/>
      </c>
      <c r="D168" s="11">
        <f>IF(BASE!D168="","",BASE!D168)</f>
        <v/>
      </c>
      <c r="E168" s="11">
        <f>IF(BASE!E168="","",BASE!E168)</f>
        <v/>
      </c>
      <c r="F168" s="11">
        <f>IF(BASE!F168="","",BASE!F168)</f>
        <v/>
      </c>
      <c r="G168" s="28">
        <f>N(BASE!L168)*INDEX(PARAMETROS!$C$25:$F$25,PARAMETROS!$C$9)</f>
        <v/>
      </c>
      <c r="H168" s="14">
        <f>IF(E168="",0,INDEX(PARAMETROS!$C$25:$F$25,PARAMETROS!$C$9)/60*N(BASE!L168)*BASE!P168*(IF(INDEX(PARAMETROS!$C$27:$F$27,PARAMETROS!$C$9)="Real",BASE!N168,N(BASE!H168))*INDEX(PARAMETROS!$C$26:$F$26,PARAMETROS!$C$9)+BASE!O168))</f>
        <v/>
      </c>
      <c r="I168" s="14">
        <f>IF(F168="",0,INDEX(PARAMETROS!$C$25:$F$25,PARAMETROS!$C$9)/60*N(BASE!L168)*(IF(INDEX(PARAMETROS!$C$27:$F$27,PARAMETROS!$C$9)="Real",BASE!N168,N(BASE!H168))*INDEX(PARAMETROS!$C$26:$F$26,PARAMETROS!$C$9)+BASE!O168))</f>
        <v/>
      </c>
      <c r="J168" s="15">
        <f>MAX(IFERROR(INDEX(CAP_CELULA!$J$6:$J$65,(PARAMETROS!$C$9-1)*15+MATCH(E168,MAO_OBRA!$A$6:$A$20,0)),0),IFERROR(INDEX(USINAGEM!$I$6:$I$29,(PARAMETROS!$C$9-1)*6+MATCH(F168,PARAMETROS!$B$32:$B$37,0)),0))</f>
        <v/>
      </c>
      <c r="K168" s="12">
        <f>IF(AND(C168&lt;&gt;"",J168&gt;0,J168=SUMPRODUCT(MAX(($B$6:$B$205=B168)*($C$6:$C$205=C168)*$J$6:$J$205))),"◄ GARGALO","")</f>
        <v/>
      </c>
      <c r="L168" s="33">
        <f>H168+I168+ROW()/10000000</f>
        <v/>
      </c>
    </row>
    <row r="169">
      <c r="A169" s="11">
        <f>IF(BASE!A169="","",BASE!A169)</f>
        <v/>
      </c>
      <c r="B169" s="11">
        <f>IF(BASE!B169="","",BASE!B169)</f>
        <v/>
      </c>
      <c r="C169" s="11">
        <f>IF(BASE!C169="","",BASE!C169)</f>
        <v/>
      </c>
      <c r="D169" s="11">
        <f>IF(BASE!D169="","",BASE!D169)</f>
        <v/>
      </c>
      <c r="E169" s="11">
        <f>IF(BASE!E169="","",BASE!E169)</f>
        <v/>
      </c>
      <c r="F169" s="11">
        <f>IF(BASE!F169="","",BASE!F169)</f>
        <v/>
      </c>
      <c r="G169" s="28">
        <f>N(BASE!L169)*INDEX(PARAMETROS!$C$25:$F$25,PARAMETROS!$C$9)</f>
        <v/>
      </c>
      <c r="H169" s="14">
        <f>IF(E169="",0,INDEX(PARAMETROS!$C$25:$F$25,PARAMETROS!$C$9)/60*N(BASE!L169)*BASE!P169*(IF(INDEX(PARAMETROS!$C$27:$F$27,PARAMETROS!$C$9)="Real",BASE!N169,N(BASE!H169))*INDEX(PARAMETROS!$C$26:$F$26,PARAMETROS!$C$9)+BASE!O169))</f>
        <v/>
      </c>
      <c r="I169" s="14">
        <f>IF(F169="",0,INDEX(PARAMETROS!$C$25:$F$25,PARAMETROS!$C$9)/60*N(BASE!L169)*(IF(INDEX(PARAMETROS!$C$27:$F$27,PARAMETROS!$C$9)="Real",BASE!N169,N(BASE!H169))*INDEX(PARAMETROS!$C$26:$F$26,PARAMETROS!$C$9)+BASE!O169))</f>
        <v/>
      </c>
      <c r="J169" s="15">
        <f>MAX(IFERROR(INDEX(CAP_CELULA!$J$6:$J$65,(PARAMETROS!$C$9-1)*15+MATCH(E169,MAO_OBRA!$A$6:$A$20,0)),0),IFERROR(INDEX(USINAGEM!$I$6:$I$29,(PARAMETROS!$C$9-1)*6+MATCH(F169,PARAMETROS!$B$32:$B$37,0)),0))</f>
        <v/>
      </c>
      <c r="K169" s="12">
        <f>IF(AND(C169&lt;&gt;"",J169&gt;0,J169=SUMPRODUCT(MAX(($B$6:$B$205=B169)*($C$6:$C$205=C169)*$J$6:$J$205))),"◄ GARGALO","")</f>
        <v/>
      </c>
      <c r="L169" s="33">
        <f>H169+I169+ROW()/10000000</f>
        <v/>
      </c>
    </row>
    <row r="170">
      <c r="A170" s="11">
        <f>IF(BASE!A170="","",BASE!A170)</f>
        <v/>
      </c>
      <c r="B170" s="11">
        <f>IF(BASE!B170="","",BASE!B170)</f>
        <v/>
      </c>
      <c r="C170" s="11">
        <f>IF(BASE!C170="","",BASE!C170)</f>
        <v/>
      </c>
      <c r="D170" s="11">
        <f>IF(BASE!D170="","",BASE!D170)</f>
        <v/>
      </c>
      <c r="E170" s="11">
        <f>IF(BASE!E170="","",BASE!E170)</f>
        <v/>
      </c>
      <c r="F170" s="11">
        <f>IF(BASE!F170="","",BASE!F170)</f>
        <v/>
      </c>
      <c r="G170" s="28">
        <f>N(BASE!L170)*INDEX(PARAMETROS!$C$25:$F$25,PARAMETROS!$C$9)</f>
        <v/>
      </c>
      <c r="H170" s="14">
        <f>IF(E170="",0,INDEX(PARAMETROS!$C$25:$F$25,PARAMETROS!$C$9)/60*N(BASE!L170)*BASE!P170*(IF(INDEX(PARAMETROS!$C$27:$F$27,PARAMETROS!$C$9)="Real",BASE!N170,N(BASE!H170))*INDEX(PARAMETROS!$C$26:$F$26,PARAMETROS!$C$9)+BASE!O170))</f>
        <v/>
      </c>
      <c r="I170" s="14">
        <f>IF(F170="",0,INDEX(PARAMETROS!$C$25:$F$25,PARAMETROS!$C$9)/60*N(BASE!L170)*(IF(INDEX(PARAMETROS!$C$27:$F$27,PARAMETROS!$C$9)="Real",BASE!N170,N(BASE!H170))*INDEX(PARAMETROS!$C$26:$F$26,PARAMETROS!$C$9)+BASE!O170))</f>
        <v/>
      </c>
      <c r="J170" s="15">
        <f>MAX(IFERROR(INDEX(CAP_CELULA!$J$6:$J$65,(PARAMETROS!$C$9-1)*15+MATCH(E170,MAO_OBRA!$A$6:$A$20,0)),0),IFERROR(INDEX(USINAGEM!$I$6:$I$29,(PARAMETROS!$C$9-1)*6+MATCH(F170,PARAMETROS!$B$32:$B$37,0)),0))</f>
        <v/>
      </c>
      <c r="K170" s="12">
        <f>IF(AND(C170&lt;&gt;"",J170&gt;0,J170=SUMPRODUCT(MAX(($B$6:$B$205=B170)*($C$6:$C$205=C170)*$J$6:$J$205))),"◄ GARGALO","")</f>
        <v/>
      </c>
      <c r="L170" s="33">
        <f>H170+I170+ROW()/10000000</f>
        <v/>
      </c>
    </row>
    <row r="171">
      <c r="A171" s="11">
        <f>IF(BASE!A171="","",BASE!A171)</f>
        <v/>
      </c>
      <c r="B171" s="11">
        <f>IF(BASE!B171="","",BASE!B171)</f>
        <v/>
      </c>
      <c r="C171" s="11">
        <f>IF(BASE!C171="","",BASE!C171)</f>
        <v/>
      </c>
      <c r="D171" s="11">
        <f>IF(BASE!D171="","",BASE!D171)</f>
        <v/>
      </c>
      <c r="E171" s="11">
        <f>IF(BASE!E171="","",BASE!E171)</f>
        <v/>
      </c>
      <c r="F171" s="11">
        <f>IF(BASE!F171="","",BASE!F171)</f>
        <v/>
      </c>
      <c r="G171" s="28">
        <f>N(BASE!L171)*INDEX(PARAMETROS!$C$25:$F$25,PARAMETROS!$C$9)</f>
        <v/>
      </c>
      <c r="H171" s="14">
        <f>IF(E171="",0,INDEX(PARAMETROS!$C$25:$F$25,PARAMETROS!$C$9)/60*N(BASE!L171)*BASE!P171*(IF(INDEX(PARAMETROS!$C$27:$F$27,PARAMETROS!$C$9)="Real",BASE!N171,N(BASE!H171))*INDEX(PARAMETROS!$C$26:$F$26,PARAMETROS!$C$9)+BASE!O171))</f>
        <v/>
      </c>
      <c r="I171" s="14">
        <f>IF(F171="",0,INDEX(PARAMETROS!$C$25:$F$25,PARAMETROS!$C$9)/60*N(BASE!L171)*(IF(INDEX(PARAMETROS!$C$27:$F$27,PARAMETROS!$C$9)="Real",BASE!N171,N(BASE!H171))*INDEX(PARAMETROS!$C$26:$F$26,PARAMETROS!$C$9)+BASE!O171))</f>
        <v/>
      </c>
      <c r="J171" s="15">
        <f>MAX(IFERROR(INDEX(CAP_CELULA!$J$6:$J$65,(PARAMETROS!$C$9-1)*15+MATCH(E171,MAO_OBRA!$A$6:$A$20,0)),0),IFERROR(INDEX(USINAGEM!$I$6:$I$29,(PARAMETROS!$C$9-1)*6+MATCH(F171,PARAMETROS!$B$32:$B$37,0)),0))</f>
        <v/>
      </c>
      <c r="K171" s="12">
        <f>IF(AND(C171&lt;&gt;"",J171&gt;0,J171=SUMPRODUCT(MAX(($B$6:$B$205=B171)*($C$6:$C$205=C171)*$J$6:$J$205))),"◄ GARGALO","")</f>
        <v/>
      </c>
      <c r="L171" s="33">
        <f>H171+I171+ROW()/10000000</f>
        <v/>
      </c>
    </row>
    <row r="172">
      <c r="A172" s="11">
        <f>IF(BASE!A172="","",BASE!A172)</f>
        <v/>
      </c>
      <c r="B172" s="11">
        <f>IF(BASE!B172="","",BASE!B172)</f>
        <v/>
      </c>
      <c r="C172" s="11">
        <f>IF(BASE!C172="","",BASE!C172)</f>
        <v/>
      </c>
      <c r="D172" s="11">
        <f>IF(BASE!D172="","",BASE!D172)</f>
        <v/>
      </c>
      <c r="E172" s="11">
        <f>IF(BASE!E172="","",BASE!E172)</f>
        <v/>
      </c>
      <c r="F172" s="11">
        <f>IF(BASE!F172="","",BASE!F172)</f>
        <v/>
      </c>
      <c r="G172" s="28">
        <f>N(BASE!L172)*INDEX(PARAMETROS!$C$25:$F$25,PARAMETROS!$C$9)</f>
        <v/>
      </c>
      <c r="H172" s="14">
        <f>IF(E172="",0,INDEX(PARAMETROS!$C$25:$F$25,PARAMETROS!$C$9)/60*N(BASE!L172)*BASE!P172*(IF(INDEX(PARAMETROS!$C$27:$F$27,PARAMETROS!$C$9)="Real",BASE!N172,N(BASE!H172))*INDEX(PARAMETROS!$C$26:$F$26,PARAMETROS!$C$9)+BASE!O172))</f>
        <v/>
      </c>
      <c r="I172" s="14">
        <f>IF(F172="",0,INDEX(PARAMETROS!$C$25:$F$25,PARAMETROS!$C$9)/60*N(BASE!L172)*(IF(INDEX(PARAMETROS!$C$27:$F$27,PARAMETROS!$C$9)="Real",BASE!N172,N(BASE!H172))*INDEX(PARAMETROS!$C$26:$F$26,PARAMETROS!$C$9)+BASE!O172))</f>
        <v/>
      </c>
      <c r="J172" s="15">
        <f>MAX(IFERROR(INDEX(CAP_CELULA!$J$6:$J$65,(PARAMETROS!$C$9-1)*15+MATCH(E172,MAO_OBRA!$A$6:$A$20,0)),0),IFERROR(INDEX(USINAGEM!$I$6:$I$29,(PARAMETROS!$C$9-1)*6+MATCH(F172,PARAMETROS!$B$32:$B$37,0)),0))</f>
        <v/>
      </c>
      <c r="K172" s="12">
        <f>IF(AND(C172&lt;&gt;"",J172&gt;0,J172=SUMPRODUCT(MAX(($B$6:$B$205=B172)*($C$6:$C$205=C172)*$J$6:$J$205))),"◄ GARGALO","")</f>
        <v/>
      </c>
      <c r="L172" s="33">
        <f>H172+I172+ROW()/10000000</f>
        <v/>
      </c>
    </row>
    <row r="173">
      <c r="A173" s="11">
        <f>IF(BASE!A173="","",BASE!A173)</f>
        <v/>
      </c>
      <c r="B173" s="11">
        <f>IF(BASE!B173="","",BASE!B173)</f>
        <v/>
      </c>
      <c r="C173" s="11">
        <f>IF(BASE!C173="","",BASE!C173)</f>
        <v/>
      </c>
      <c r="D173" s="11">
        <f>IF(BASE!D173="","",BASE!D173)</f>
        <v/>
      </c>
      <c r="E173" s="11">
        <f>IF(BASE!E173="","",BASE!E173)</f>
        <v/>
      </c>
      <c r="F173" s="11">
        <f>IF(BASE!F173="","",BASE!F173)</f>
        <v/>
      </c>
      <c r="G173" s="28">
        <f>N(BASE!L173)*INDEX(PARAMETROS!$C$25:$F$25,PARAMETROS!$C$9)</f>
        <v/>
      </c>
      <c r="H173" s="14">
        <f>IF(E173="",0,INDEX(PARAMETROS!$C$25:$F$25,PARAMETROS!$C$9)/60*N(BASE!L173)*BASE!P173*(IF(INDEX(PARAMETROS!$C$27:$F$27,PARAMETROS!$C$9)="Real",BASE!N173,N(BASE!H173))*INDEX(PARAMETROS!$C$26:$F$26,PARAMETROS!$C$9)+BASE!O173))</f>
        <v/>
      </c>
      <c r="I173" s="14">
        <f>IF(F173="",0,INDEX(PARAMETROS!$C$25:$F$25,PARAMETROS!$C$9)/60*N(BASE!L173)*(IF(INDEX(PARAMETROS!$C$27:$F$27,PARAMETROS!$C$9)="Real",BASE!N173,N(BASE!H173))*INDEX(PARAMETROS!$C$26:$F$26,PARAMETROS!$C$9)+BASE!O173))</f>
        <v/>
      </c>
      <c r="J173" s="15">
        <f>MAX(IFERROR(INDEX(CAP_CELULA!$J$6:$J$65,(PARAMETROS!$C$9-1)*15+MATCH(E173,MAO_OBRA!$A$6:$A$20,0)),0),IFERROR(INDEX(USINAGEM!$I$6:$I$29,(PARAMETROS!$C$9-1)*6+MATCH(F173,PARAMETROS!$B$32:$B$37,0)),0))</f>
        <v/>
      </c>
      <c r="K173" s="12">
        <f>IF(AND(C173&lt;&gt;"",J173&gt;0,J173=SUMPRODUCT(MAX(($B$6:$B$205=B173)*($C$6:$C$205=C173)*$J$6:$J$205))),"◄ GARGALO","")</f>
        <v/>
      </c>
      <c r="L173" s="33">
        <f>H173+I173+ROW()/10000000</f>
        <v/>
      </c>
    </row>
    <row r="174">
      <c r="A174" s="11">
        <f>IF(BASE!A174="","",BASE!A174)</f>
        <v/>
      </c>
      <c r="B174" s="11">
        <f>IF(BASE!B174="","",BASE!B174)</f>
        <v/>
      </c>
      <c r="C174" s="11">
        <f>IF(BASE!C174="","",BASE!C174)</f>
        <v/>
      </c>
      <c r="D174" s="11">
        <f>IF(BASE!D174="","",BASE!D174)</f>
        <v/>
      </c>
      <c r="E174" s="11">
        <f>IF(BASE!E174="","",BASE!E174)</f>
        <v/>
      </c>
      <c r="F174" s="11">
        <f>IF(BASE!F174="","",BASE!F174)</f>
        <v/>
      </c>
      <c r="G174" s="28">
        <f>N(BASE!L174)*INDEX(PARAMETROS!$C$25:$F$25,PARAMETROS!$C$9)</f>
        <v/>
      </c>
      <c r="H174" s="14">
        <f>IF(E174="",0,INDEX(PARAMETROS!$C$25:$F$25,PARAMETROS!$C$9)/60*N(BASE!L174)*BASE!P174*(IF(INDEX(PARAMETROS!$C$27:$F$27,PARAMETROS!$C$9)="Real",BASE!N174,N(BASE!H174))*INDEX(PARAMETROS!$C$26:$F$26,PARAMETROS!$C$9)+BASE!O174))</f>
        <v/>
      </c>
      <c r="I174" s="14">
        <f>IF(F174="",0,INDEX(PARAMETROS!$C$25:$F$25,PARAMETROS!$C$9)/60*N(BASE!L174)*(IF(INDEX(PARAMETROS!$C$27:$F$27,PARAMETROS!$C$9)="Real",BASE!N174,N(BASE!H174))*INDEX(PARAMETROS!$C$26:$F$26,PARAMETROS!$C$9)+BASE!O174))</f>
        <v/>
      </c>
      <c r="J174" s="15">
        <f>MAX(IFERROR(INDEX(CAP_CELULA!$J$6:$J$65,(PARAMETROS!$C$9-1)*15+MATCH(E174,MAO_OBRA!$A$6:$A$20,0)),0),IFERROR(INDEX(USINAGEM!$I$6:$I$29,(PARAMETROS!$C$9-1)*6+MATCH(F174,PARAMETROS!$B$32:$B$37,0)),0))</f>
        <v/>
      </c>
      <c r="K174" s="12">
        <f>IF(AND(C174&lt;&gt;"",J174&gt;0,J174=SUMPRODUCT(MAX(($B$6:$B$205=B174)*($C$6:$C$205=C174)*$J$6:$J$205))),"◄ GARGALO","")</f>
        <v/>
      </c>
      <c r="L174" s="33">
        <f>H174+I174+ROW()/10000000</f>
        <v/>
      </c>
    </row>
    <row r="175">
      <c r="A175" s="11">
        <f>IF(BASE!A175="","",BASE!A175)</f>
        <v/>
      </c>
      <c r="B175" s="11">
        <f>IF(BASE!B175="","",BASE!B175)</f>
        <v/>
      </c>
      <c r="C175" s="11">
        <f>IF(BASE!C175="","",BASE!C175)</f>
        <v/>
      </c>
      <c r="D175" s="11">
        <f>IF(BASE!D175="","",BASE!D175)</f>
        <v/>
      </c>
      <c r="E175" s="11">
        <f>IF(BASE!E175="","",BASE!E175)</f>
        <v/>
      </c>
      <c r="F175" s="11">
        <f>IF(BASE!F175="","",BASE!F175)</f>
        <v/>
      </c>
      <c r="G175" s="28">
        <f>N(BASE!L175)*INDEX(PARAMETROS!$C$25:$F$25,PARAMETROS!$C$9)</f>
        <v/>
      </c>
      <c r="H175" s="14">
        <f>IF(E175="",0,INDEX(PARAMETROS!$C$25:$F$25,PARAMETROS!$C$9)/60*N(BASE!L175)*BASE!P175*(IF(INDEX(PARAMETROS!$C$27:$F$27,PARAMETROS!$C$9)="Real",BASE!N175,N(BASE!H175))*INDEX(PARAMETROS!$C$26:$F$26,PARAMETROS!$C$9)+BASE!O175))</f>
        <v/>
      </c>
      <c r="I175" s="14">
        <f>IF(F175="",0,INDEX(PARAMETROS!$C$25:$F$25,PARAMETROS!$C$9)/60*N(BASE!L175)*(IF(INDEX(PARAMETROS!$C$27:$F$27,PARAMETROS!$C$9)="Real",BASE!N175,N(BASE!H175))*INDEX(PARAMETROS!$C$26:$F$26,PARAMETROS!$C$9)+BASE!O175))</f>
        <v/>
      </c>
      <c r="J175" s="15">
        <f>MAX(IFERROR(INDEX(CAP_CELULA!$J$6:$J$65,(PARAMETROS!$C$9-1)*15+MATCH(E175,MAO_OBRA!$A$6:$A$20,0)),0),IFERROR(INDEX(USINAGEM!$I$6:$I$29,(PARAMETROS!$C$9-1)*6+MATCH(F175,PARAMETROS!$B$32:$B$37,0)),0))</f>
        <v/>
      </c>
      <c r="K175" s="12">
        <f>IF(AND(C175&lt;&gt;"",J175&gt;0,J175=SUMPRODUCT(MAX(($B$6:$B$205=B175)*($C$6:$C$205=C175)*$J$6:$J$205))),"◄ GARGALO","")</f>
        <v/>
      </c>
      <c r="L175" s="33">
        <f>H175+I175+ROW()/10000000</f>
        <v/>
      </c>
    </row>
    <row r="176">
      <c r="A176" s="11">
        <f>IF(BASE!A176="","",BASE!A176)</f>
        <v/>
      </c>
      <c r="B176" s="11">
        <f>IF(BASE!B176="","",BASE!B176)</f>
        <v/>
      </c>
      <c r="C176" s="11">
        <f>IF(BASE!C176="","",BASE!C176)</f>
        <v/>
      </c>
      <c r="D176" s="11">
        <f>IF(BASE!D176="","",BASE!D176)</f>
        <v/>
      </c>
      <c r="E176" s="11">
        <f>IF(BASE!E176="","",BASE!E176)</f>
        <v/>
      </c>
      <c r="F176" s="11">
        <f>IF(BASE!F176="","",BASE!F176)</f>
        <v/>
      </c>
      <c r="G176" s="28">
        <f>N(BASE!L176)*INDEX(PARAMETROS!$C$25:$F$25,PARAMETROS!$C$9)</f>
        <v/>
      </c>
      <c r="H176" s="14">
        <f>IF(E176="",0,INDEX(PARAMETROS!$C$25:$F$25,PARAMETROS!$C$9)/60*N(BASE!L176)*BASE!P176*(IF(INDEX(PARAMETROS!$C$27:$F$27,PARAMETROS!$C$9)="Real",BASE!N176,N(BASE!H176))*INDEX(PARAMETROS!$C$26:$F$26,PARAMETROS!$C$9)+BASE!O176))</f>
        <v/>
      </c>
      <c r="I176" s="14">
        <f>IF(F176="",0,INDEX(PARAMETROS!$C$25:$F$25,PARAMETROS!$C$9)/60*N(BASE!L176)*(IF(INDEX(PARAMETROS!$C$27:$F$27,PARAMETROS!$C$9)="Real",BASE!N176,N(BASE!H176))*INDEX(PARAMETROS!$C$26:$F$26,PARAMETROS!$C$9)+BASE!O176))</f>
        <v/>
      </c>
      <c r="J176" s="15">
        <f>MAX(IFERROR(INDEX(CAP_CELULA!$J$6:$J$65,(PARAMETROS!$C$9-1)*15+MATCH(E176,MAO_OBRA!$A$6:$A$20,0)),0),IFERROR(INDEX(USINAGEM!$I$6:$I$29,(PARAMETROS!$C$9-1)*6+MATCH(F176,PARAMETROS!$B$32:$B$37,0)),0))</f>
        <v/>
      </c>
      <c r="K176" s="12">
        <f>IF(AND(C176&lt;&gt;"",J176&gt;0,J176=SUMPRODUCT(MAX(($B$6:$B$205=B176)*($C$6:$C$205=C176)*$J$6:$J$205))),"◄ GARGALO","")</f>
        <v/>
      </c>
      <c r="L176" s="33">
        <f>H176+I176+ROW()/10000000</f>
        <v/>
      </c>
    </row>
    <row r="177">
      <c r="A177" s="11">
        <f>IF(BASE!A177="","",BASE!A177)</f>
        <v/>
      </c>
      <c r="B177" s="11">
        <f>IF(BASE!B177="","",BASE!B177)</f>
        <v/>
      </c>
      <c r="C177" s="11">
        <f>IF(BASE!C177="","",BASE!C177)</f>
        <v/>
      </c>
      <c r="D177" s="11">
        <f>IF(BASE!D177="","",BASE!D177)</f>
        <v/>
      </c>
      <c r="E177" s="11">
        <f>IF(BASE!E177="","",BASE!E177)</f>
        <v/>
      </c>
      <c r="F177" s="11">
        <f>IF(BASE!F177="","",BASE!F177)</f>
        <v/>
      </c>
      <c r="G177" s="28">
        <f>N(BASE!L177)*INDEX(PARAMETROS!$C$25:$F$25,PARAMETROS!$C$9)</f>
        <v/>
      </c>
      <c r="H177" s="14">
        <f>IF(E177="",0,INDEX(PARAMETROS!$C$25:$F$25,PARAMETROS!$C$9)/60*N(BASE!L177)*BASE!P177*(IF(INDEX(PARAMETROS!$C$27:$F$27,PARAMETROS!$C$9)="Real",BASE!N177,N(BASE!H177))*INDEX(PARAMETROS!$C$26:$F$26,PARAMETROS!$C$9)+BASE!O177))</f>
        <v/>
      </c>
      <c r="I177" s="14">
        <f>IF(F177="",0,INDEX(PARAMETROS!$C$25:$F$25,PARAMETROS!$C$9)/60*N(BASE!L177)*(IF(INDEX(PARAMETROS!$C$27:$F$27,PARAMETROS!$C$9)="Real",BASE!N177,N(BASE!H177))*INDEX(PARAMETROS!$C$26:$F$26,PARAMETROS!$C$9)+BASE!O177))</f>
        <v/>
      </c>
      <c r="J177" s="15">
        <f>MAX(IFERROR(INDEX(CAP_CELULA!$J$6:$J$65,(PARAMETROS!$C$9-1)*15+MATCH(E177,MAO_OBRA!$A$6:$A$20,0)),0),IFERROR(INDEX(USINAGEM!$I$6:$I$29,(PARAMETROS!$C$9-1)*6+MATCH(F177,PARAMETROS!$B$32:$B$37,0)),0))</f>
        <v/>
      </c>
      <c r="K177" s="12">
        <f>IF(AND(C177&lt;&gt;"",J177&gt;0,J177=SUMPRODUCT(MAX(($B$6:$B$205=B177)*($C$6:$C$205=C177)*$J$6:$J$205))),"◄ GARGALO","")</f>
        <v/>
      </c>
      <c r="L177" s="33">
        <f>H177+I177+ROW()/10000000</f>
        <v/>
      </c>
    </row>
    <row r="178">
      <c r="A178" s="11">
        <f>IF(BASE!A178="","",BASE!A178)</f>
        <v/>
      </c>
      <c r="B178" s="11">
        <f>IF(BASE!B178="","",BASE!B178)</f>
        <v/>
      </c>
      <c r="C178" s="11">
        <f>IF(BASE!C178="","",BASE!C178)</f>
        <v/>
      </c>
      <c r="D178" s="11">
        <f>IF(BASE!D178="","",BASE!D178)</f>
        <v/>
      </c>
      <c r="E178" s="11">
        <f>IF(BASE!E178="","",BASE!E178)</f>
        <v/>
      </c>
      <c r="F178" s="11">
        <f>IF(BASE!F178="","",BASE!F178)</f>
        <v/>
      </c>
      <c r="G178" s="28">
        <f>N(BASE!L178)*INDEX(PARAMETROS!$C$25:$F$25,PARAMETROS!$C$9)</f>
        <v/>
      </c>
      <c r="H178" s="14">
        <f>IF(E178="",0,INDEX(PARAMETROS!$C$25:$F$25,PARAMETROS!$C$9)/60*N(BASE!L178)*BASE!P178*(IF(INDEX(PARAMETROS!$C$27:$F$27,PARAMETROS!$C$9)="Real",BASE!N178,N(BASE!H178))*INDEX(PARAMETROS!$C$26:$F$26,PARAMETROS!$C$9)+BASE!O178))</f>
        <v/>
      </c>
      <c r="I178" s="14">
        <f>IF(F178="",0,INDEX(PARAMETROS!$C$25:$F$25,PARAMETROS!$C$9)/60*N(BASE!L178)*(IF(INDEX(PARAMETROS!$C$27:$F$27,PARAMETROS!$C$9)="Real",BASE!N178,N(BASE!H178))*INDEX(PARAMETROS!$C$26:$F$26,PARAMETROS!$C$9)+BASE!O178))</f>
        <v/>
      </c>
      <c r="J178" s="15">
        <f>MAX(IFERROR(INDEX(CAP_CELULA!$J$6:$J$65,(PARAMETROS!$C$9-1)*15+MATCH(E178,MAO_OBRA!$A$6:$A$20,0)),0),IFERROR(INDEX(USINAGEM!$I$6:$I$29,(PARAMETROS!$C$9-1)*6+MATCH(F178,PARAMETROS!$B$32:$B$37,0)),0))</f>
        <v/>
      </c>
      <c r="K178" s="12">
        <f>IF(AND(C178&lt;&gt;"",J178&gt;0,J178=SUMPRODUCT(MAX(($B$6:$B$205=B178)*($C$6:$C$205=C178)*$J$6:$J$205))),"◄ GARGALO","")</f>
        <v/>
      </c>
      <c r="L178" s="33">
        <f>H178+I178+ROW()/10000000</f>
        <v/>
      </c>
    </row>
    <row r="179">
      <c r="A179" s="11">
        <f>IF(BASE!A179="","",BASE!A179)</f>
        <v/>
      </c>
      <c r="B179" s="11">
        <f>IF(BASE!B179="","",BASE!B179)</f>
        <v/>
      </c>
      <c r="C179" s="11">
        <f>IF(BASE!C179="","",BASE!C179)</f>
        <v/>
      </c>
      <c r="D179" s="11">
        <f>IF(BASE!D179="","",BASE!D179)</f>
        <v/>
      </c>
      <c r="E179" s="11">
        <f>IF(BASE!E179="","",BASE!E179)</f>
        <v/>
      </c>
      <c r="F179" s="11">
        <f>IF(BASE!F179="","",BASE!F179)</f>
        <v/>
      </c>
      <c r="G179" s="28">
        <f>N(BASE!L179)*INDEX(PARAMETROS!$C$25:$F$25,PARAMETROS!$C$9)</f>
        <v/>
      </c>
      <c r="H179" s="14">
        <f>IF(E179="",0,INDEX(PARAMETROS!$C$25:$F$25,PARAMETROS!$C$9)/60*N(BASE!L179)*BASE!P179*(IF(INDEX(PARAMETROS!$C$27:$F$27,PARAMETROS!$C$9)="Real",BASE!N179,N(BASE!H179))*INDEX(PARAMETROS!$C$26:$F$26,PARAMETROS!$C$9)+BASE!O179))</f>
        <v/>
      </c>
      <c r="I179" s="14">
        <f>IF(F179="",0,INDEX(PARAMETROS!$C$25:$F$25,PARAMETROS!$C$9)/60*N(BASE!L179)*(IF(INDEX(PARAMETROS!$C$27:$F$27,PARAMETROS!$C$9)="Real",BASE!N179,N(BASE!H179))*INDEX(PARAMETROS!$C$26:$F$26,PARAMETROS!$C$9)+BASE!O179))</f>
        <v/>
      </c>
      <c r="J179" s="15">
        <f>MAX(IFERROR(INDEX(CAP_CELULA!$J$6:$J$65,(PARAMETROS!$C$9-1)*15+MATCH(E179,MAO_OBRA!$A$6:$A$20,0)),0),IFERROR(INDEX(USINAGEM!$I$6:$I$29,(PARAMETROS!$C$9-1)*6+MATCH(F179,PARAMETROS!$B$32:$B$37,0)),0))</f>
        <v/>
      </c>
      <c r="K179" s="12">
        <f>IF(AND(C179&lt;&gt;"",J179&gt;0,J179=SUMPRODUCT(MAX(($B$6:$B$205=B179)*($C$6:$C$205=C179)*$J$6:$J$205))),"◄ GARGALO","")</f>
        <v/>
      </c>
      <c r="L179" s="33">
        <f>H179+I179+ROW()/10000000</f>
        <v/>
      </c>
    </row>
    <row r="180">
      <c r="A180" s="11">
        <f>IF(BASE!A180="","",BASE!A180)</f>
        <v/>
      </c>
      <c r="B180" s="11">
        <f>IF(BASE!B180="","",BASE!B180)</f>
        <v/>
      </c>
      <c r="C180" s="11">
        <f>IF(BASE!C180="","",BASE!C180)</f>
        <v/>
      </c>
      <c r="D180" s="11">
        <f>IF(BASE!D180="","",BASE!D180)</f>
        <v/>
      </c>
      <c r="E180" s="11">
        <f>IF(BASE!E180="","",BASE!E180)</f>
        <v/>
      </c>
      <c r="F180" s="11">
        <f>IF(BASE!F180="","",BASE!F180)</f>
        <v/>
      </c>
      <c r="G180" s="28">
        <f>N(BASE!L180)*INDEX(PARAMETROS!$C$25:$F$25,PARAMETROS!$C$9)</f>
        <v/>
      </c>
      <c r="H180" s="14">
        <f>IF(E180="",0,INDEX(PARAMETROS!$C$25:$F$25,PARAMETROS!$C$9)/60*N(BASE!L180)*BASE!P180*(IF(INDEX(PARAMETROS!$C$27:$F$27,PARAMETROS!$C$9)="Real",BASE!N180,N(BASE!H180))*INDEX(PARAMETROS!$C$26:$F$26,PARAMETROS!$C$9)+BASE!O180))</f>
        <v/>
      </c>
      <c r="I180" s="14">
        <f>IF(F180="",0,INDEX(PARAMETROS!$C$25:$F$25,PARAMETROS!$C$9)/60*N(BASE!L180)*(IF(INDEX(PARAMETROS!$C$27:$F$27,PARAMETROS!$C$9)="Real",BASE!N180,N(BASE!H180))*INDEX(PARAMETROS!$C$26:$F$26,PARAMETROS!$C$9)+BASE!O180))</f>
        <v/>
      </c>
      <c r="J180" s="15">
        <f>MAX(IFERROR(INDEX(CAP_CELULA!$J$6:$J$65,(PARAMETROS!$C$9-1)*15+MATCH(E180,MAO_OBRA!$A$6:$A$20,0)),0),IFERROR(INDEX(USINAGEM!$I$6:$I$29,(PARAMETROS!$C$9-1)*6+MATCH(F180,PARAMETROS!$B$32:$B$37,0)),0))</f>
        <v/>
      </c>
      <c r="K180" s="12">
        <f>IF(AND(C180&lt;&gt;"",J180&gt;0,J180=SUMPRODUCT(MAX(($B$6:$B$205=B180)*($C$6:$C$205=C180)*$J$6:$J$205))),"◄ GARGALO","")</f>
        <v/>
      </c>
      <c r="L180" s="33">
        <f>H180+I180+ROW()/10000000</f>
        <v/>
      </c>
    </row>
    <row r="181">
      <c r="A181" s="11">
        <f>IF(BASE!A181="","",BASE!A181)</f>
        <v/>
      </c>
      <c r="B181" s="11">
        <f>IF(BASE!B181="","",BASE!B181)</f>
        <v/>
      </c>
      <c r="C181" s="11">
        <f>IF(BASE!C181="","",BASE!C181)</f>
        <v/>
      </c>
      <c r="D181" s="11">
        <f>IF(BASE!D181="","",BASE!D181)</f>
        <v/>
      </c>
      <c r="E181" s="11">
        <f>IF(BASE!E181="","",BASE!E181)</f>
        <v/>
      </c>
      <c r="F181" s="11">
        <f>IF(BASE!F181="","",BASE!F181)</f>
        <v/>
      </c>
      <c r="G181" s="28">
        <f>N(BASE!L181)*INDEX(PARAMETROS!$C$25:$F$25,PARAMETROS!$C$9)</f>
        <v/>
      </c>
      <c r="H181" s="14">
        <f>IF(E181="",0,INDEX(PARAMETROS!$C$25:$F$25,PARAMETROS!$C$9)/60*N(BASE!L181)*BASE!P181*(IF(INDEX(PARAMETROS!$C$27:$F$27,PARAMETROS!$C$9)="Real",BASE!N181,N(BASE!H181))*INDEX(PARAMETROS!$C$26:$F$26,PARAMETROS!$C$9)+BASE!O181))</f>
        <v/>
      </c>
      <c r="I181" s="14">
        <f>IF(F181="",0,INDEX(PARAMETROS!$C$25:$F$25,PARAMETROS!$C$9)/60*N(BASE!L181)*(IF(INDEX(PARAMETROS!$C$27:$F$27,PARAMETROS!$C$9)="Real",BASE!N181,N(BASE!H181))*INDEX(PARAMETROS!$C$26:$F$26,PARAMETROS!$C$9)+BASE!O181))</f>
        <v/>
      </c>
      <c r="J181" s="15">
        <f>MAX(IFERROR(INDEX(CAP_CELULA!$J$6:$J$65,(PARAMETROS!$C$9-1)*15+MATCH(E181,MAO_OBRA!$A$6:$A$20,0)),0),IFERROR(INDEX(USINAGEM!$I$6:$I$29,(PARAMETROS!$C$9-1)*6+MATCH(F181,PARAMETROS!$B$32:$B$37,0)),0))</f>
        <v/>
      </c>
      <c r="K181" s="12">
        <f>IF(AND(C181&lt;&gt;"",J181&gt;0,J181=SUMPRODUCT(MAX(($B$6:$B$205=B181)*($C$6:$C$205=C181)*$J$6:$J$205))),"◄ GARGALO","")</f>
        <v/>
      </c>
      <c r="L181" s="33">
        <f>H181+I181+ROW()/10000000</f>
        <v/>
      </c>
    </row>
    <row r="182">
      <c r="A182" s="11">
        <f>IF(BASE!A182="","",BASE!A182)</f>
        <v/>
      </c>
      <c r="B182" s="11">
        <f>IF(BASE!B182="","",BASE!B182)</f>
        <v/>
      </c>
      <c r="C182" s="11">
        <f>IF(BASE!C182="","",BASE!C182)</f>
        <v/>
      </c>
      <c r="D182" s="11">
        <f>IF(BASE!D182="","",BASE!D182)</f>
        <v/>
      </c>
      <c r="E182" s="11">
        <f>IF(BASE!E182="","",BASE!E182)</f>
        <v/>
      </c>
      <c r="F182" s="11">
        <f>IF(BASE!F182="","",BASE!F182)</f>
        <v/>
      </c>
      <c r="G182" s="28">
        <f>N(BASE!L182)*INDEX(PARAMETROS!$C$25:$F$25,PARAMETROS!$C$9)</f>
        <v/>
      </c>
      <c r="H182" s="14">
        <f>IF(E182="",0,INDEX(PARAMETROS!$C$25:$F$25,PARAMETROS!$C$9)/60*N(BASE!L182)*BASE!P182*(IF(INDEX(PARAMETROS!$C$27:$F$27,PARAMETROS!$C$9)="Real",BASE!N182,N(BASE!H182))*INDEX(PARAMETROS!$C$26:$F$26,PARAMETROS!$C$9)+BASE!O182))</f>
        <v/>
      </c>
      <c r="I182" s="14">
        <f>IF(F182="",0,INDEX(PARAMETROS!$C$25:$F$25,PARAMETROS!$C$9)/60*N(BASE!L182)*(IF(INDEX(PARAMETROS!$C$27:$F$27,PARAMETROS!$C$9)="Real",BASE!N182,N(BASE!H182))*INDEX(PARAMETROS!$C$26:$F$26,PARAMETROS!$C$9)+BASE!O182))</f>
        <v/>
      </c>
      <c r="J182" s="15">
        <f>MAX(IFERROR(INDEX(CAP_CELULA!$J$6:$J$65,(PARAMETROS!$C$9-1)*15+MATCH(E182,MAO_OBRA!$A$6:$A$20,0)),0),IFERROR(INDEX(USINAGEM!$I$6:$I$29,(PARAMETROS!$C$9-1)*6+MATCH(F182,PARAMETROS!$B$32:$B$37,0)),0))</f>
        <v/>
      </c>
      <c r="K182" s="12">
        <f>IF(AND(C182&lt;&gt;"",J182&gt;0,J182=SUMPRODUCT(MAX(($B$6:$B$205=B182)*($C$6:$C$205=C182)*$J$6:$J$205))),"◄ GARGALO","")</f>
        <v/>
      </c>
      <c r="L182" s="33">
        <f>H182+I182+ROW()/10000000</f>
        <v/>
      </c>
    </row>
    <row r="183">
      <c r="A183" s="11">
        <f>IF(BASE!A183="","",BASE!A183)</f>
        <v/>
      </c>
      <c r="B183" s="11">
        <f>IF(BASE!B183="","",BASE!B183)</f>
        <v/>
      </c>
      <c r="C183" s="11">
        <f>IF(BASE!C183="","",BASE!C183)</f>
        <v/>
      </c>
      <c r="D183" s="11">
        <f>IF(BASE!D183="","",BASE!D183)</f>
        <v/>
      </c>
      <c r="E183" s="11">
        <f>IF(BASE!E183="","",BASE!E183)</f>
        <v/>
      </c>
      <c r="F183" s="11">
        <f>IF(BASE!F183="","",BASE!F183)</f>
        <v/>
      </c>
      <c r="G183" s="28">
        <f>N(BASE!L183)*INDEX(PARAMETROS!$C$25:$F$25,PARAMETROS!$C$9)</f>
        <v/>
      </c>
      <c r="H183" s="14">
        <f>IF(E183="",0,INDEX(PARAMETROS!$C$25:$F$25,PARAMETROS!$C$9)/60*N(BASE!L183)*BASE!P183*(IF(INDEX(PARAMETROS!$C$27:$F$27,PARAMETROS!$C$9)="Real",BASE!N183,N(BASE!H183))*INDEX(PARAMETROS!$C$26:$F$26,PARAMETROS!$C$9)+BASE!O183))</f>
        <v/>
      </c>
      <c r="I183" s="14">
        <f>IF(F183="",0,INDEX(PARAMETROS!$C$25:$F$25,PARAMETROS!$C$9)/60*N(BASE!L183)*(IF(INDEX(PARAMETROS!$C$27:$F$27,PARAMETROS!$C$9)="Real",BASE!N183,N(BASE!H183))*INDEX(PARAMETROS!$C$26:$F$26,PARAMETROS!$C$9)+BASE!O183))</f>
        <v/>
      </c>
      <c r="J183" s="15">
        <f>MAX(IFERROR(INDEX(CAP_CELULA!$J$6:$J$65,(PARAMETROS!$C$9-1)*15+MATCH(E183,MAO_OBRA!$A$6:$A$20,0)),0),IFERROR(INDEX(USINAGEM!$I$6:$I$29,(PARAMETROS!$C$9-1)*6+MATCH(F183,PARAMETROS!$B$32:$B$37,0)),0))</f>
        <v/>
      </c>
      <c r="K183" s="12">
        <f>IF(AND(C183&lt;&gt;"",J183&gt;0,J183=SUMPRODUCT(MAX(($B$6:$B$205=B183)*($C$6:$C$205=C183)*$J$6:$J$205))),"◄ GARGALO","")</f>
        <v/>
      </c>
      <c r="L183" s="33">
        <f>H183+I183+ROW()/10000000</f>
        <v/>
      </c>
    </row>
    <row r="184">
      <c r="A184" s="11">
        <f>IF(BASE!A184="","",BASE!A184)</f>
        <v/>
      </c>
      <c r="B184" s="11">
        <f>IF(BASE!B184="","",BASE!B184)</f>
        <v/>
      </c>
      <c r="C184" s="11">
        <f>IF(BASE!C184="","",BASE!C184)</f>
        <v/>
      </c>
      <c r="D184" s="11">
        <f>IF(BASE!D184="","",BASE!D184)</f>
        <v/>
      </c>
      <c r="E184" s="11">
        <f>IF(BASE!E184="","",BASE!E184)</f>
        <v/>
      </c>
      <c r="F184" s="11">
        <f>IF(BASE!F184="","",BASE!F184)</f>
        <v/>
      </c>
      <c r="G184" s="28">
        <f>N(BASE!L184)*INDEX(PARAMETROS!$C$25:$F$25,PARAMETROS!$C$9)</f>
        <v/>
      </c>
      <c r="H184" s="14">
        <f>IF(E184="",0,INDEX(PARAMETROS!$C$25:$F$25,PARAMETROS!$C$9)/60*N(BASE!L184)*BASE!P184*(IF(INDEX(PARAMETROS!$C$27:$F$27,PARAMETROS!$C$9)="Real",BASE!N184,N(BASE!H184))*INDEX(PARAMETROS!$C$26:$F$26,PARAMETROS!$C$9)+BASE!O184))</f>
        <v/>
      </c>
      <c r="I184" s="14">
        <f>IF(F184="",0,INDEX(PARAMETROS!$C$25:$F$25,PARAMETROS!$C$9)/60*N(BASE!L184)*(IF(INDEX(PARAMETROS!$C$27:$F$27,PARAMETROS!$C$9)="Real",BASE!N184,N(BASE!H184))*INDEX(PARAMETROS!$C$26:$F$26,PARAMETROS!$C$9)+BASE!O184))</f>
        <v/>
      </c>
      <c r="J184" s="15">
        <f>MAX(IFERROR(INDEX(CAP_CELULA!$J$6:$J$65,(PARAMETROS!$C$9-1)*15+MATCH(E184,MAO_OBRA!$A$6:$A$20,0)),0),IFERROR(INDEX(USINAGEM!$I$6:$I$29,(PARAMETROS!$C$9-1)*6+MATCH(F184,PARAMETROS!$B$32:$B$37,0)),0))</f>
        <v/>
      </c>
      <c r="K184" s="12">
        <f>IF(AND(C184&lt;&gt;"",J184&gt;0,J184=SUMPRODUCT(MAX(($B$6:$B$205=B184)*($C$6:$C$205=C184)*$J$6:$J$205))),"◄ GARGALO","")</f>
        <v/>
      </c>
      <c r="L184" s="33">
        <f>H184+I184+ROW()/10000000</f>
        <v/>
      </c>
    </row>
    <row r="185">
      <c r="A185" s="11">
        <f>IF(BASE!A185="","",BASE!A185)</f>
        <v/>
      </c>
      <c r="B185" s="11">
        <f>IF(BASE!B185="","",BASE!B185)</f>
        <v/>
      </c>
      <c r="C185" s="11">
        <f>IF(BASE!C185="","",BASE!C185)</f>
        <v/>
      </c>
      <c r="D185" s="11">
        <f>IF(BASE!D185="","",BASE!D185)</f>
        <v/>
      </c>
      <c r="E185" s="11">
        <f>IF(BASE!E185="","",BASE!E185)</f>
        <v/>
      </c>
      <c r="F185" s="11">
        <f>IF(BASE!F185="","",BASE!F185)</f>
        <v/>
      </c>
      <c r="G185" s="28">
        <f>N(BASE!L185)*INDEX(PARAMETROS!$C$25:$F$25,PARAMETROS!$C$9)</f>
        <v/>
      </c>
      <c r="H185" s="14">
        <f>IF(E185="",0,INDEX(PARAMETROS!$C$25:$F$25,PARAMETROS!$C$9)/60*N(BASE!L185)*BASE!P185*(IF(INDEX(PARAMETROS!$C$27:$F$27,PARAMETROS!$C$9)="Real",BASE!N185,N(BASE!H185))*INDEX(PARAMETROS!$C$26:$F$26,PARAMETROS!$C$9)+BASE!O185))</f>
        <v/>
      </c>
      <c r="I185" s="14">
        <f>IF(F185="",0,INDEX(PARAMETROS!$C$25:$F$25,PARAMETROS!$C$9)/60*N(BASE!L185)*(IF(INDEX(PARAMETROS!$C$27:$F$27,PARAMETROS!$C$9)="Real",BASE!N185,N(BASE!H185))*INDEX(PARAMETROS!$C$26:$F$26,PARAMETROS!$C$9)+BASE!O185))</f>
        <v/>
      </c>
      <c r="J185" s="15">
        <f>MAX(IFERROR(INDEX(CAP_CELULA!$J$6:$J$65,(PARAMETROS!$C$9-1)*15+MATCH(E185,MAO_OBRA!$A$6:$A$20,0)),0),IFERROR(INDEX(USINAGEM!$I$6:$I$29,(PARAMETROS!$C$9-1)*6+MATCH(F185,PARAMETROS!$B$32:$B$37,0)),0))</f>
        <v/>
      </c>
      <c r="K185" s="12">
        <f>IF(AND(C185&lt;&gt;"",J185&gt;0,J185=SUMPRODUCT(MAX(($B$6:$B$205=B185)*($C$6:$C$205=C185)*$J$6:$J$205))),"◄ GARGALO","")</f>
        <v/>
      </c>
      <c r="L185" s="33">
        <f>H185+I185+ROW()/10000000</f>
        <v/>
      </c>
    </row>
    <row r="186">
      <c r="A186" s="11">
        <f>IF(BASE!A186="","",BASE!A186)</f>
        <v/>
      </c>
      <c r="B186" s="11">
        <f>IF(BASE!B186="","",BASE!B186)</f>
        <v/>
      </c>
      <c r="C186" s="11">
        <f>IF(BASE!C186="","",BASE!C186)</f>
        <v/>
      </c>
      <c r="D186" s="11">
        <f>IF(BASE!D186="","",BASE!D186)</f>
        <v/>
      </c>
      <c r="E186" s="11">
        <f>IF(BASE!E186="","",BASE!E186)</f>
        <v/>
      </c>
      <c r="F186" s="11">
        <f>IF(BASE!F186="","",BASE!F186)</f>
        <v/>
      </c>
      <c r="G186" s="28">
        <f>N(BASE!L186)*INDEX(PARAMETROS!$C$25:$F$25,PARAMETROS!$C$9)</f>
        <v/>
      </c>
      <c r="H186" s="14">
        <f>IF(E186="",0,INDEX(PARAMETROS!$C$25:$F$25,PARAMETROS!$C$9)/60*N(BASE!L186)*BASE!P186*(IF(INDEX(PARAMETROS!$C$27:$F$27,PARAMETROS!$C$9)="Real",BASE!N186,N(BASE!H186))*INDEX(PARAMETROS!$C$26:$F$26,PARAMETROS!$C$9)+BASE!O186))</f>
        <v/>
      </c>
      <c r="I186" s="14">
        <f>IF(F186="",0,INDEX(PARAMETROS!$C$25:$F$25,PARAMETROS!$C$9)/60*N(BASE!L186)*(IF(INDEX(PARAMETROS!$C$27:$F$27,PARAMETROS!$C$9)="Real",BASE!N186,N(BASE!H186))*INDEX(PARAMETROS!$C$26:$F$26,PARAMETROS!$C$9)+BASE!O186))</f>
        <v/>
      </c>
      <c r="J186" s="15">
        <f>MAX(IFERROR(INDEX(CAP_CELULA!$J$6:$J$65,(PARAMETROS!$C$9-1)*15+MATCH(E186,MAO_OBRA!$A$6:$A$20,0)),0),IFERROR(INDEX(USINAGEM!$I$6:$I$29,(PARAMETROS!$C$9-1)*6+MATCH(F186,PARAMETROS!$B$32:$B$37,0)),0))</f>
        <v/>
      </c>
      <c r="K186" s="12">
        <f>IF(AND(C186&lt;&gt;"",J186&gt;0,J186=SUMPRODUCT(MAX(($B$6:$B$205=B186)*($C$6:$C$205=C186)*$J$6:$J$205))),"◄ GARGALO","")</f>
        <v/>
      </c>
      <c r="L186" s="33">
        <f>H186+I186+ROW()/10000000</f>
        <v/>
      </c>
    </row>
    <row r="187">
      <c r="A187" s="11">
        <f>IF(BASE!A187="","",BASE!A187)</f>
        <v/>
      </c>
      <c r="B187" s="11">
        <f>IF(BASE!B187="","",BASE!B187)</f>
        <v/>
      </c>
      <c r="C187" s="11">
        <f>IF(BASE!C187="","",BASE!C187)</f>
        <v/>
      </c>
      <c r="D187" s="11">
        <f>IF(BASE!D187="","",BASE!D187)</f>
        <v/>
      </c>
      <c r="E187" s="11">
        <f>IF(BASE!E187="","",BASE!E187)</f>
        <v/>
      </c>
      <c r="F187" s="11">
        <f>IF(BASE!F187="","",BASE!F187)</f>
        <v/>
      </c>
      <c r="G187" s="28">
        <f>N(BASE!L187)*INDEX(PARAMETROS!$C$25:$F$25,PARAMETROS!$C$9)</f>
        <v/>
      </c>
      <c r="H187" s="14">
        <f>IF(E187="",0,INDEX(PARAMETROS!$C$25:$F$25,PARAMETROS!$C$9)/60*N(BASE!L187)*BASE!P187*(IF(INDEX(PARAMETROS!$C$27:$F$27,PARAMETROS!$C$9)="Real",BASE!N187,N(BASE!H187))*INDEX(PARAMETROS!$C$26:$F$26,PARAMETROS!$C$9)+BASE!O187))</f>
        <v/>
      </c>
      <c r="I187" s="14">
        <f>IF(F187="",0,INDEX(PARAMETROS!$C$25:$F$25,PARAMETROS!$C$9)/60*N(BASE!L187)*(IF(INDEX(PARAMETROS!$C$27:$F$27,PARAMETROS!$C$9)="Real",BASE!N187,N(BASE!H187))*INDEX(PARAMETROS!$C$26:$F$26,PARAMETROS!$C$9)+BASE!O187))</f>
        <v/>
      </c>
      <c r="J187" s="15">
        <f>MAX(IFERROR(INDEX(CAP_CELULA!$J$6:$J$65,(PARAMETROS!$C$9-1)*15+MATCH(E187,MAO_OBRA!$A$6:$A$20,0)),0),IFERROR(INDEX(USINAGEM!$I$6:$I$29,(PARAMETROS!$C$9-1)*6+MATCH(F187,PARAMETROS!$B$32:$B$37,0)),0))</f>
        <v/>
      </c>
      <c r="K187" s="12">
        <f>IF(AND(C187&lt;&gt;"",J187&gt;0,J187=SUMPRODUCT(MAX(($B$6:$B$205=B187)*($C$6:$C$205=C187)*$J$6:$J$205))),"◄ GARGALO","")</f>
        <v/>
      </c>
      <c r="L187" s="33">
        <f>H187+I187+ROW()/10000000</f>
        <v/>
      </c>
    </row>
    <row r="188">
      <c r="A188" s="11">
        <f>IF(BASE!A188="","",BASE!A188)</f>
        <v/>
      </c>
      <c r="B188" s="11">
        <f>IF(BASE!B188="","",BASE!B188)</f>
        <v/>
      </c>
      <c r="C188" s="11">
        <f>IF(BASE!C188="","",BASE!C188)</f>
        <v/>
      </c>
      <c r="D188" s="11">
        <f>IF(BASE!D188="","",BASE!D188)</f>
        <v/>
      </c>
      <c r="E188" s="11">
        <f>IF(BASE!E188="","",BASE!E188)</f>
        <v/>
      </c>
      <c r="F188" s="11">
        <f>IF(BASE!F188="","",BASE!F188)</f>
        <v/>
      </c>
      <c r="G188" s="28">
        <f>N(BASE!L188)*INDEX(PARAMETROS!$C$25:$F$25,PARAMETROS!$C$9)</f>
        <v/>
      </c>
      <c r="H188" s="14">
        <f>IF(E188="",0,INDEX(PARAMETROS!$C$25:$F$25,PARAMETROS!$C$9)/60*N(BASE!L188)*BASE!P188*(IF(INDEX(PARAMETROS!$C$27:$F$27,PARAMETROS!$C$9)="Real",BASE!N188,N(BASE!H188))*INDEX(PARAMETROS!$C$26:$F$26,PARAMETROS!$C$9)+BASE!O188))</f>
        <v/>
      </c>
      <c r="I188" s="14">
        <f>IF(F188="",0,INDEX(PARAMETROS!$C$25:$F$25,PARAMETROS!$C$9)/60*N(BASE!L188)*(IF(INDEX(PARAMETROS!$C$27:$F$27,PARAMETROS!$C$9)="Real",BASE!N188,N(BASE!H188))*INDEX(PARAMETROS!$C$26:$F$26,PARAMETROS!$C$9)+BASE!O188))</f>
        <v/>
      </c>
      <c r="J188" s="15">
        <f>MAX(IFERROR(INDEX(CAP_CELULA!$J$6:$J$65,(PARAMETROS!$C$9-1)*15+MATCH(E188,MAO_OBRA!$A$6:$A$20,0)),0),IFERROR(INDEX(USINAGEM!$I$6:$I$29,(PARAMETROS!$C$9-1)*6+MATCH(F188,PARAMETROS!$B$32:$B$37,0)),0))</f>
        <v/>
      </c>
      <c r="K188" s="12">
        <f>IF(AND(C188&lt;&gt;"",J188&gt;0,J188=SUMPRODUCT(MAX(($B$6:$B$205=B188)*($C$6:$C$205=C188)*$J$6:$J$205))),"◄ GARGALO","")</f>
        <v/>
      </c>
      <c r="L188" s="33">
        <f>H188+I188+ROW()/10000000</f>
        <v/>
      </c>
    </row>
    <row r="189">
      <c r="A189" s="11">
        <f>IF(BASE!A189="","",BASE!A189)</f>
        <v/>
      </c>
      <c r="B189" s="11">
        <f>IF(BASE!B189="","",BASE!B189)</f>
        <v/>
      </c>
      <c r="C189" s="11">
        <f>IF(BASE!C189="","",BASE!C189)</f>
        <v/>
      </c>
      <c r="D189" s="11">
        <f>IF(BASE!D189="","",BASE!D189)</f>
        <v/>
      </c>
      <c r="E189" s="11">
        <f>IF(BASE!E189="","",BASE!E189)</f>
        <v/>
      </c>
      <c r="F189" s="11">
        <f>IF(BASE!F189="","",BASE!F189)</f>
        <v/>
      </c>
      <c r="G189" s="28">
        <f>N(BASE!L189)*INDEX(PARAMETROS!$C$25:$F$25,PARAMETROS!$C$9)</f>
        <v/>
      </c>
      <c r="H189" s="14">
        <f>IF(E189="",0,INDEX(PARAMETROS!$C$25:$F$25,PARAMETROS!$C$9)/60*N(BASE!L189)*BASE!P189*(IF(INDEX(PARAMETROS!$C$27:$F$27,PARAMETROS!$C$9)="Real",BASE!N189,N(BASE!H189))*INDEX(PARAMETROS!$C$26:$F$26,PARAMETROS!$C$9)+BASE!O189))</f>
        <v/>
      </c>
      <c r="I189" s="14">
        <f>IF(F189="",0,INDEX(PARAMETROS!$C$25:$F$25,PARAMETROS!$C$9)/60*N(BASE!L189)*(IF(INDEX(PARAMETROS!$C$27:$F$27,PARAMETROS!$C$9)="Real",BASE!N189,N(BASE!H189))*INDEX(PARAMETROS!$C$26:$F$26,PARAMETROS!$C$9)+BASE!O189))</f>
        <v/>
      </c>
      <c r="J189" s="15">
        <f>MAX(IFERROR(INDEX(CAP_CELULA!$J$6:$J$65,(PARAMETROS!$C$9-1)*15+MATCH(E189,MAO_OBRA!$A$6:$A$20,0)),0),IFERROR(INDEX(USINAGEM!$I$6:$I$29,(PARAMETROS!$C$9-1)*6+MATCH(F189,PARAMETROS!$B$32:$B$37,0)),0))</f>
        <v/>
      </c>
      <c r="K189" s="12">
        <f>IF(AND(C189&lt;&gt;"",J189&gt;0,J189=SUMPRODUCT(MAX(($B$6:$B$205=B189)*($C$6:$C$205=C189)*$J$6:$J$205))),"◄ GARGALO","")</f>
        <v/>
      </c>
      <c r="L189" s="33">
        <f>H189+I189+ROW()/10000000</f>
        <v/>
      </c>
    </row>
    <row r="190">
      <c r="A190" s="11">
        <f>IF(BASE!A190="","",BASE!A190)</f>
        <v/>
      </c>
      <c r="B190" s="11">
        <f>IF(BASE!B190="","",BASE!B190)</f>
        <v/>
      </c>
      <c r="C190" s="11">
        <f>IF(BASE!C190="","",BASE!C190)</f>
        <v/>
      </c>
      <c r="D190" s="11">
        <f>IF(BASE!D190="","",BASE!D190)</f>
        <v/>
      </c>
      <c r="E190" s="11">
        <f>IF(BASE!E190="","",BASE!E190)</f>
        <v/>
      </c>
      <c r="F190" s="11">
        <f>IF(BASE!F190="","",BASE!F190)</f>
        <v/>
      </c>
      <c r="G190" s="28">
        <f>N(BASE!L190)*INDEX(PARAMETROS!$C$25:$F$25,PARAMETROS!$C$9)</f>
        <v/>
      </c>
      <c r="H190" s="14">
        <f>IF(E190="",0,INDEX(PARAMETROS!$C$25:$F$25,PARAMETROS!$C$9)/60*N(BASE!L190)*BASE!P190*(IF(INDEX(PARAMETROS!$C$27:$F$27,PARAMETROS!$C$9)="Real",BASE!N190,N(BASE!H190))*INDEX(PARAMETROS!$C$26:$F$26,PARAMETROS!$C$9)+BASE!O190))</f>
        <v/>
      </c>
      <c r="I190" s="14">
        <f>IF(F190="",0,INDEX(PARAMETROS!$C$25:$F$25,PARAMETROS!$C$9)/60*N(BASE!L190)*(IF(INDEX(PARAMETROS!$C$27:$F$27,PARAMETROS!$C$9)="Real",BASE!N190,N(BASE!H190))*INDEX(PARAMETROS!$C$26:$F$26,PARAMETROS!$C$9)+BASE!O190))</f>
        <v/>
      </c>
      <c r="J190" s="15">
        <f>MAX(IFERROR(INDEX(CAP_CELULA!$J$6:$J$65,(PARAMETROS!$C$9-1)*15+MATCH(E190,MAO_OBRA!$A$6:$A$20,0)),0),IFERROR(INDEX(USINAGEM!$I$6:$I$29,(PARAMETROS!$C$9-1)*6+MATCH(F190,PARAMETROS!$B$32:$B$37,0)),0))</f>
        <v/>
      </c>
      <c r="K190" s="12">
        <f>IF(AND(C190&lt;&gt;"",J190&gt;0,J190=SUMPRODUCT(MAX(($B$6:$B$205=B190)*($C$6:$C$205=C190)*$J$6:$J$205))),"◄ GARGALO","")</f>
        <v/>
      </c>
      <c r="L190" s="33">
        <f>H190+I190+ROW()/10000000</f>
        <v/>
      </c>
    </row>
    <row r="191">
      <c r="A191" s="11">
        <f>IF(BASE!A191="","",BASE!A191)</f>
        <v/>
      </c>
      <c r="B191" s="11">
        <f>IF(BASE!B191="","",BASE!B191)</f>
        <v/>
      </c>
      <c r="C191" s="11">
        <f>IF(BASE!C191="","",BASE!C191)</f>
        <v/>
      </c>
      <c r="D191" s="11">
        <f>IF(BASE!D191="","",BASE!D191)</f>
        <v/>
      </c>
      <c r="E191" s="11">
        <f>IF(BASE!E191="","",BASE!E191)</f>
        <v/>
      </c>
      <c r="F191" s="11">
        <f>IF(BASE!F191="","",BASE!F191)</f>
        <v/>
      </c>
      <c r="G191" s="28">
        <f>N(BASE!L191)*INDEX(PARAMETROS!$C$25:$F$25,PARAMETROS!$C$9)</f>
        <v/>
      </c>
      <c r="H191" s="14">
        <f>IF(E191="",0,INDEX(PARAMETROS!$C$25:$F$25,PARAMETROS!$C$9)/60*N(BASE!L191)*BASE!P191*(IF(INDEX(PARAMETROS!$C$27:$F$27,PARAMETROS!$C$9)="Real",BASE!N191,N(BASE!H191))*INDEX(PARAMETROS!$C$26:$F$26,PARAMETROS!$C$9)+BASE!O191))</f>
        <v/>
      </c>
      <c r="I191" s="14">
        <f>IF(F191="",0,INDEX(PARAMETROS!$C$25:$F$25,PARAMETROS!$C$9)/60*N(BASE!L191)*(IF(INDEX(PARAMETROS!$C$27:$F$27,PARAMETROS!$C$9)="Real",BASE!N191,N(BASE!H191))*INDEX(PARAMETROS!$C$26:$F$26,PARAMETROS!$C$9)+BASE!O191))</f>
        <v/>
      </c>
      <c r="J191" s="15">
        <f>MAX(IFERROR(INDEX(CAP_CELULA!$J$6:$J$65,(PARAMETROS!$C$9-1)*15+MATCH(E191,MAO_OBRA!$A$6:$A$20,0)),0),IFERROR(INDEX(USINAGEM!$I$6:$I$29,(PARAMETROS!$C$9-1)*6+MATCH(F191,PARAMETROS!$B$32:$B$37,0)),0))</f>
        <v/>
      </c>
      <c r="K191" s="12">
        <f>IF(AND(C191&lt;&gt;"",J191&gt;0,J191=SUMPRODUCT(MAX(($B$6:$B$205=B191)*($C$6:$C$205=C191)*$J$6:$J$205))),"◄ GARGALO","")</f>
        <v/>
      </c>
      <c r="L191" s="33">
        <f>H191+I191+ROW()/10000000</f>
        <v/>
      </c>
    </row>
    <row r="192">
      <c r="A192" s="11">
        <f>IF(BASE!A192="","",BASE!A192)</f>
        <v/>
      </c>
      <c r="B192" s="11">
        <f>IF(BASE!B192="","",BASE!B192)</f>
        <v/>
      </c>
      <c r="C192" s="11">
        <f>IF(BASE!C192="","",BASE!C192)</f>
        <v/>
      </c>
      <c r="D192" s="11">
        <f>IF(BASE!D192="","",BASE!D192)</f>
        <v/>
      </c>
      <c r="E192" s="11">
        <f>IF(BASE!E192="","",BASE!E192)</f>
        <v/>
      </c>
      <c r="F192" s="11">
        <f>IF(BASE!F192="","",BASE!F192)</f>
        <v/>
      </c>
      <c r="G192" s="28">
        <f>N(BASE!L192)*INDEX(PARAMETROS!$C$25:$F$25,PARAMETROS!$C$9)</f>
        <v/>
      </c>
      <c r="H192" s="14">
        <f>IF(E192="",0,INDEX(PARAMETROS!$C$25:$F$25,PARAMETROS!$C$9)/60*N(BASE!L192)*BASE!P192*(IF(INDEX(PARAMETROS!$C$27:$F$27,PARAMETROS!$C$9)="Real",BASE!N192,N(BASE!H192))*INDEX(PARAMETROS!$C$26:$F$26,PARAMETROS!$C$9)+BASE!O192))</f>
        <v/>
      </c>
      <c r="I192" s="14">
        <f>IF(F192="",0,INDEX(PARAMETROS!$C$25:$F$25,PARAMETROS!$C$9)/60*N(BASE!L192)*(IF(INDEX(PARAMETROS!$C$27:$F$27,PARAMETROS!$C$9)="Real",BASE!N192,N(BASE!H192))*INDEX(PARAMETROS!$C$26:$F$26,PARAMETROS!$C$9)+BASE!O192))</f>
        <v/>
      </c>
      <c r="J192" s="15">
        <f>MAX(IFERROR(INDEX(CAP_CELULA!$J$6:$J$65,(PARAMETROS!$C$9-1)*15+MATCH(E192,MAO_OBRA!$A$6:$A$20,0)),0),IFERROR(INDEX(USINAGEM!$I$6:$I$29,(PARAMETROS!$C$9-1)*6+MATCH(F192,PARAMETROS!$B$32:$B$37,0)),0))</f>
        <v/>
      </c>
      <c r="K192" s="12">
        <f>IF(AND(C192&lt;&gt;"",J192&gt;0,J192=SUMPRODUCT(MAX(($B$6:$B$205=B192)*($C$6:$C$205=C192)*$J$6:$J$205))),"◄ GARGALO","")</f>
        <v/>
      </c>
      <c r="L192" s="33">
        <f>H192+I192+ROW()/10000000</f>
        <v/>
      </c>
    </row>
    <row r="193">
      <c r="A193" s="11">
        <f>IF(BASE!A193="","",BASE!A193)</f>
        <v/>
      </c>
      <c r="B193" s="11">
        <f>IF(BASE!B193="","",BASE!B193)</f>
        <v/>
      </c>
      <c r="C193" s="11">
        <f>IF(BASE!C193="","",BASE!C193)</f>
        <v/>
      </c>
      <c r="D193" s="11">
        <f>IF(BASE!D193="","",BASE!D193)</f>
        <v/>
      </c>
      <c r="E193" s="11">
        <f>IF(BASE!E193="","",BASE!E193)</f>
        <v/>
      </c>
      <c r="F193" s="11">
        <f>IF(BASE!F193="","",BASE!F193)</f>
        <v/>
      </c>
      <c r="G193" s="28">
        <f>N(BASE!L193)*INDEX(PARAMETROS!$C$25:$F$25,PARAMETROS!$C$9)</f>
        <v/>
      </c>
      <c r="H193" s="14">
        <f>IF(E193="",0,INDEX(PARAMETROS!$C$25:$F$25,PARAMETROS!$C$9)/60*N(BASE!L193)*BASE!P193*(IF(INDEX(PARAMETROS!$C$27:$F$27,PARAMETROS!$C$9)="Real",BASE!N193,N(BASE!H193))*INDEX(PARAMETROS!$C$26:$F$26,PARAMETROS!$C$9)+BASE!O193))</f>
        <v/>
      </c>
      <c r="I193" s="14">
        <f>IF(F193="",0,INDEX(PARAMETROS!$C$25:$F$25,PARAMETROS!$C$9)/60*N(BASE!L193)*(IF(INDEX(PARAMETROS!$C$27:$F$27,PARAMETROS!$C$9)="Real",BASE!N193,N(BASE!H193))*INDEX(PARAMETROS!$C$26:$F$26,PARAMETROS!$C$9)+BASE!O193))</f>
        <v/>
      </c>
      <c r="J193" s="15">
        <f>MAX(IFERROR(INDEX(CAP_CELULA!$J$6:$J$65,(PARAMETROS!$C$9-1)*15+MATCH(E193,MAO_OBRA!$A$6:$A$20,0)),0),IFERROR(INDEX(USINAGEM!$I$6:$I$29,(PARAMETROS!$C$9-1)*6+MATCH(F193,PARAMETROS!$B$32:$B$37,0)),0))</f>
        <v/>
      </c>
      <c r="K193" s="12">
        <f>IF(AND(C193&lt;&gt;"",J193&gt;0,J193=SUMPRODUCT(MAX(($B$6:$B$205=B193)*($C$6:$C$205=C193)*$J$6:$J$205))),"◄ GARGALO","")</f>
        <v/>
      </c>
      <c r="L193" s="33">
        <f>H193+I193+ROW()/10000000</f>
        <v/>
      </c>
    </row>
    <row r="194">
      <c r="A194" s="11">
        <f>IF(BASE!A194="","",BASE!A194)</f>
        <v/>
      </c>
      <c r="B194" s="11">
        <f>IF(BASE!B194="","",BASE!B194)</f>
        <v/>
      </c>
      <c r="C194" s="11">
        <f>IF(BASE!C194="","",BASE!C194)</f>
        <v/>
      </c>
      <c r="D194" s="11">
        <f>IF(BASE!D194="","",BASE!D194)</f>
        <v/>
      </c>
      <c r="E194" s="11">
        <f>IF(BASE!E194="","",BASE!E194)</f>
        <v/>
      </c>
      <c r="F194" s="11">
        <f>IF(BASE!F194="","",BASE!F194)</f>
        <v/>
      </c>
      <c r="G194" s="28">
        <f>N(BASE!L194)*INDEX(PARAMETROS!$C$25:$F$25,PARAMETROS!$C$9)</f>
        <v/>
      </c>
      <c r="H194" s="14">
        <f>IF(E194="",0,INDEX(PARAMETROS!$C$25:$F$25,PARAMETROS!$C$9)/60*N(BASE!L194)*BASE!P194*(IF(INDEX(PARAMETROS!$C$27:$F$27,PARAMETROS!$C$9)="Real",BASE!N194,N(BASE!H194))*INDEX(PARAMETROS!$C$26:$F$26,PARAMETROS!$C$9)+BASE!O194))</f>
        <v/>
      </c>
      <c r="I194" s="14">
        <f>IF(F194="",0,INDEX(PARAMETROS!$C$25:$F$25,PARAMETROS!$C$9)/60*N(BASE!L194)*(IF(INDEX(PARAMETROS!$C$27:$F$27,PARAMETROS!$C$9)="Real",BASE!N194,N(BASE!H194))*INDEX(PARAMETROS!$C$26:$F$26,PARAMETROS!$C$9)+BASE!O194))</f>
        <v/>
      </c>
      <c r="J194" s="15">
        <f>MAX(IFERROR(INDEX(CAP_CELULA!$J$6:$J$65,(PARAMETROS!$C$9-1)*15+MATCH(E194,MAO_OBRA!$A$6:$A$20,0)),0),IFERROR(INDEX(USINAGEM!$I$6:$I$29,(PARAMETROS!$C$9-1)*6+MATCH(F194,PARAMETROS!$B$32:$B$37,0)),0))</f>
        <v/>
      </c>
      <c r="K194" s="12">
        <f>IF(AND(C194&lt;&gt;"",J194&gt;0,J194=SUMPRODUCT(MAX(($B$6:$B$205=B194)*($C$6:$C$205=C194)*$J$6:$J$205))),"◄ GARGALO","")</f>
        <v/>
      </c>
      <c r="L194" s="33">
        <f>H194+I194+ROW()/10000000</f>
        <v/>
      </c>
    </row>
    <row r="195">
      <c r="A195" s="11">
        <f>IF(BASE!A195="","",BASE!A195)</f>
        <v/>
      </c>
      <c r="B195" s="11">
        <f>IF(BASE!B195="","",BASE!B195)</f>
        <v/>
      </c>
      <c r="C195" s="11">
        <f>IF(BASE!C195="","",BASE!C195)</f>
        <v/>
      </c>
      <c r="D195" s="11">
        <f>IF(BASE!D195="","",BASE!D195)</f>
        <v/>
      </c>
      <c r="E195" s="11">
        <f>IF(BASE!E195="","",BASE!E195)</f>
        <v/>
      </c>
      <c r="F195" s="11">
        <f>IF(BASE!F195="","",BASE!F195)</f>
        <v/>
      </c>
      <c r="G195" s="28">
        <f>N(BASE!L195)*INDEX(PARAMETROS!$C$25:$F$25,PARAMETROS!$C$9)</f>
        <v/>
      </c>
      <c r="H195" s="14">
        <f>IF(E195="",0,INDEX(PARAMETROS!$C$25:$F$25,PARAMETROS!$C$9)/60*N(BASE!L195)*BASE!P195*(IF(INDEX(PARAMETROS!$C$27:$F$27,PARAMETROS!$C$9)="Real",BASE!N195,N(BASE!H195))*INDEX(PARAMETROS!$C$26:$F$26,PARAMETROS!$C$9)+BASE!O195))</f>
        <v/>
      </c>
      <c r="I195" s="14">
        <f>IF(F195="",0,INDEX(PARAMETROS!$C$25:$F$25,PARAMETROS!$C$9)/60*N(BASE!L195)*(IF(INDEX(PARAMETROS!$C$27:$F$27,PARAMETROS!$C$9)="Real",BASE!N195,N(BASE!H195))*INDEX(PARAMETROS!$C$26:$F$26,PARAMETROS!$C$9)+BASE!O195))</f>
        <v/>
      </c>
      <c r="J195" s="15">
        <f>MAX(IFERROR(INDEX(CAP_CELULA!$J$6:$J$65,(PARAMETROS!$C$9-1)*15+MATCH(E195,MAO_OBRA!$A$6:$A$20,0)),0),IFERROR(INDEX(USINAGEM!$I$6:$I$29,(PARAMETROS!$C$9-1)*6+MATCH(F195,PARAMETROS!$B$32:$B$37,0)),0))</f>
        <v/>
      </c>
      <c r="K195" s="12">
        <f>IF(AND(C195&lt;&gt;"",J195&gt;0,J195=SUMPRODUCT(MAX(($B$6:$B$205=B195)*($C$6:$C$205=C195)*$J$6:$J$205))),"◄ GARGALO","")</f>
        <v/>
      </c>
      <c r="L195" s="33">
        <f>H195+I195+ROW()/10000000</f>
        <v/>
      </c>
    </row>
    <row r="196">
      <c r="A196" s="11">
        <f>IF(BASE!A196="","",BASE!A196)</f>
        <v/>
      </c>
      <c r="B196" s="11">
        <f>IF(BASE!B196="","",BASE!B196)</f>
        <v/>
      </c>
      <c r="C196" s="11">
        <f>IF(BASE!C196="","",BASE!C196)</f>
        <v/>
      </c>
      <c r="D196" s="11">
        <f>IF(BASE!D196="","",BASE!D196)</f>
        <v/>
      </c>
      <c r="E196" s="11">
        <f>IF(BASE!E196="","",BASE!E196)</f>
        <v/>
      </c>
      <c r="F196" s="11">
        <f>IF(BASE!F196="","",BASE!F196)</f>
        <v/>
      </c>
      <c r="G196" s="28">
        <f>N(BASE!L196)*INDEX(PARAMETROS!$C$25:$F$25,PARAMETROS!$C$9)</f>
        <v/>
      </c>
      <c r="H196" s="14">
        <f>IF(E196="",0,INDEX(PARAMETROS!$C$25:$F$25,PARAMETROS!$C$9)/60*N(BASE!L196)*BASE!P196*(IF(INDEX(PARAMETROS!$C$27:$F$27,PARAMETROS!$C$9)="Real",BASE!N196,N(BASE!H196))*INDEX(PARAMETROS!$C$26:$F$26,PARAMETROS!$C$9)+BASE!O196))</f>
        <v/>
      </c>
      <c r="I196" s="14">
        <f>IF(F196="",0,INDEX(PARAMETROS!$C$25:$F$25,PARAMETROS!$C$9)/60*N(BASE!L196)*(IF(INDEX(PARAMETROS!$C$27:$F$27,PARAMETROS!$C$9)="Real",BASE!N196,N(BASE!H196))*INDEX(PARAMETROS!$C$26:$F$26,PARAMETROS!$C$9)+BASE!O196))</f>
        <v/>
      </c>
      <c r="J196" s="15">
        <f>MAX(IFERROR(INDEX(CAP_CELULA!$J$6:$J$65,(PARAMETROS!$C$9-1)*15+MATCH(E196,MAO_OBRA!$A$6:$A$20,0)),0),IFERROR(INDEX(USINAGEM!$I$6:$I$29,(PARAMETROS!$C$9-1)*6+MATCH(F196,PARAMETROS!$B$32:$B$37,0)),0))</f>
        <v/>
      </c>
      <c r="K196" s="12">
        <f>IF(AND(C196&lt;&gt;"",J196&gt;0,J196=SUMPRODUCT(MAX(($B$6:$B$205=B196)*($C$6:$C$205=C196)*$J$6:$J$205))),"◄ GARGALO","")</f>
        <v/>
      </c>
      <c r="L196" s="33">
        <f>H196+I196+ROW()/10000000</f>
        <v/>
      </c>
    </row>
    <row r="197">
      <c r="A197" s="11">
        <f>IF(BASE!A197="","",BASE!A197)</f>
        <v/>
      </c>
      <c r="B197" s="11">
        <f>IF(BASE!B197="","",BASE!B197)</f>
        <v/>
      </c>
      <c r="C197" s="11">
        <f>IF(BASE!C197="","",BASE!C197)</f>
        <v/>
      </c>
      <c r="D197" s="11">
        <f>IF(BASE!D197="","",BASE!D197)</f>
        <v/>
      </c>
      <c r="E197" s="11">
        <f>IF(BASE!E197="","",BASE!E197)</f>
        <v/>
      </c>
      <c r="F197" s="11">
        <f>IF(BASE!F197="","",BASE!F197)</f>
        <v/>
      </c>
      <c r="G197" s="28">
        <f>N(BASE!L197)*INDEX(PARAMETROS!$C$25:$F$25,PARAMETROS!$C$9)</f>
        <v/>
      </c>
      <c r="H197" s="14">
        <f>IF(E197="",0,INDEX(PARAMETROS!$C$25:$F$25,PARAMETROS!$C$9)/60*N(BASE!L197)*BASE!P197*(IF(INDEX(PARAMETROS!$C$27:$F$27,PARAMETROS!$C$9)="Real",BASE!N197,N(BASE!H197))*INDEX(PARAMETROS!$C$26:$F$26,PARAMETROS!$C$9)+BASE!O197))</f>
        <v/>
      </c>
      <c r="I197" s="14">
        <f>IF(F197="",0,INDEX(PARAMETROS!$C$25:$F$25,PARAMETROS!$C$9)/60*N(BASE!L197)*(IF(INDEX(PARAMETROS!$C$27:$F$27,PARAMETROS!$C$9)="Real",BASE!N197,N(BASE!H197))*INDEX(PARAMETROS!$C$26:$F$26,PARAMETROS!$C$9)+BASE!O197))</f>
        <v/>
      </c>
      <c r="J197" s="15">
        <f>MAX(IFERROR(INDEX(CAP_CELULA!$J$6:$J$65,(PARAMETROS!$C$9-1)*15+MATCH(E197,MAO_OBRA!$A$6:$A$20,0)),0),IFERROR(INDEX(USINAGEM!$I$6:$I$29,(PARAMETROS!$C$9-1)*6+MATCH(F197,PARAMETROS!$B$32:$B$37,0)),0))</f>
        <v/>
      </c>
      <c r="K197" s="12">
        <f>IF(AND(C197&lt;&gt;"",J197&gt;0,J197=SUMPRODUCT(MAX(($B$6:$B$205=B197)*($C$6:$C$205=C197)*$J$6:$J$205))),"◄ GARGALO","")</f>
        <v/>
      </c>
      <c r="L197" s="33">
        <f>H197+I197+ROW()/10000000</f>
        <v/>
      </c>
    </row>
    <row r="198">
      <c r="A198" s="11">
        <f>IF(BASE!A198="","",BASE!A198)</f>
        <v/>
      </c>
      <c r="B198" s="11">
        <f>IF(BASE!B198="","",BASE!B198)</f>
        <v/>
      </c>
      <c r="C198" s="11">
        <f>IF(BASE!C198="","",BASE!C198)</f>
        <v/>
      </c>
      <c r="D198" s="11">
        <f>IF(BASE!D198="","",BASE!D198)</f>
        <v/>
      </c>
      <c r="E198" s="11">
        <f>IF(BASE!E198="","",BASE!E198)</f>
        <v/>
      </c>
      <c r="F198" s="11">
        <f>IF(BASE!F198="","",BASE!F198)</f>
        <v/>
      </c>
      <c r="G198" s="28">
        <f>N(BASE!L198)*INDEX(PARAMETROS!$C$25:$F$25,PARAMETROS!$C$9)</f>
        <v/>
      </c>
      <c r="H198" s="14">
        <f>IF(E198="",0,INDEX(PARAMETROS!$C$25:$F$25,PARAMETROS!$C$9)/60*N(BASE!L198)*BASE!P198*(IF(INDEX(PARAMETROS!$C$27:$F$27,PARAMETROS!$C$9)="Real",BASE!N198,N(BASE!H198))*INDEX(PARAMETROS!$C$26:$F$26,PARAMETROS!$C$9)+BASE!O198))</f>
        <v/>
      </c>
      <c r="I198" s="14">
        <f>IF(F198="",0,INDEX(PARAMETROS!$C$25:$F$25,PARAMETROS!$C$9)/60*N(BASE!L198)*(IF(INDEX(PARAMETROS!$C$27:$F$27,PARAMETROS!$C$9)="Real",BASE!N198,N(BASE!H198))*INDEX(PARAMETROS!$C$26:$F$26,PARAMETROS!$C$9)+BASE!O198))</f>
        <v/>
      </c>
      <c r="J198" s="15">
        <f>MAX(IFERROR(INDEX(CAP_CELULA!$J$6:$J$65,(PARAMETROS!$C$9-1)*15+MATCH(E198,MAO_OBRA!$A$6:$A$20,0)),0),IFERROR(INDEX(USINAGEM!$I$6:$I$29,(PARAMETROS!$C$9-1)*6+MATCH(F198,PARAMETROS!$B$32:$B$37,0)),0))</f>
        <v/>
      </c>
      <c r="K198" s="12">
        <f>IF(AND(C198&lt;&gt;"",J198&gt;0,J198=SUMPRODUCT(MAX(($B$6:$B$205=B198)*($C$6:$C$205=C198)*$J$6:$J$205))),"◄ GARGALO","")</f>
        <v/>
      </c>
      <c r="L198" s="33">
        <f>H198+I198+ROW()/10000000</f>
        <v/>
      </c>
    </row>
    <row r="199">
      <c r="A199" s="11">
        <f>IF(BASE!A199="","",BASE!A199)</f>
        <v/>
      </c>
      <c r="B199" s="11">
        <f>IF(BASE!B199="","",BASE!B199)</f>
        <v/>
      </c>
      <c r="C199" s="11">
        <f>IF(BASE!C199="","",BASE!C199)</f>
        <v/>
      </c>
      <c r="D199" s="11">
        <f>IF(BASE!D199="","",BASE!D199)</f>
        <v/>
      </c>
      <c r="E199" s="11">
        <f>IF(BASE!E199="","",BASE!E199)</f>
        <v/>
      </c>
      <c r="F199" s="11">
        <f>IF(BASE!F199="","",BASE!F199)</f>
        <v/>
      </c>
      <c r="G199" s="28">
        <f>N(BASE!L199)*INDEX(PARAMETROS!$C$25:$F$25,PARAMETROS!$C$9)</f>
        <v/>
      </c>
      <c r="H199" s="14">
        <f>IF(E199="",0,INDEX(PARAMETROS!$C$25:$F$25,PARAMETROS!$C$9)/60*N(BASE!L199)*BASE!P199*(IF(INDEX(PARAMETROS!$C$27:$F$27,PARAMETROS!$C$9)="Real",BASE!N199,N(BASE!H199))*INDEX(PARAMETROS!$C$26:$F$26,PARAMETROS!$C$9)+BASE!O199))</f>
        <v/>
      </c>
      <c r="I199" s="14">
        <f>IF(F199="",0,INDEX(PARAMETROS!$C$25:$F$25,PARAMETROS!$C$9)/60*N(BASE!L199)*(IF(INDEX(PARAMETROS!$C$27:$F$27,PARAMETROS!$C$9)="Real",BASE!N199,N(BASE!H199))*INDEX(PARAMETROS!$C$26:$F$26,PARAMETROS!$C$9)+BASE!O199))</f>
        <v/>
      </c>
      <c r="J199" s="15">
        <f>MAX(IFERROR(INDEX(CAP_CELULA!$J$6:$J$65,(PARAMETROS!$C$9-1)*15+MATCH(E199,MAO_OBRA!$A$6:$A$20,0)),0),IFERROR(INDEX(USINAGEM!$I$6:$I$29,(PARAMETROS!$C$9-1)*6+MATCH(F199,PARAMETROS!$B$32:$B$37,0)),0))</f>
        <v/>
      </c>
      <c r="K199" s="12">
        <f>IF(AND(C199&lt;&gt;"",J199&gt;0,J199=SUMPRODUCT(MAX(($B$6:$B$205=B199)*($C$6:$C$205=C199)*$J$6:$J$205))),"◄ GARGALO","")</f>
        <v/>
      </c>
      <c r="L199" s="33">
        <f>H199+I199+ROW()/10000000</f>
        <v/>
      </c>
    </row>
    <row r="200">
      <c r="A200" s="11">
        <f>IF(BASE!A200="","",BASE!A200)</f>
        <v/>
      </c>
      <c r="B200" s="11">
        <f>IF(BASE!B200="","",BASE!B200)</f>
        <v/>
      </c>
      <c r="C200" s="11">
        <f>IF(BASE!C200="","",BASE!C200)</f>
        <v/>
      </c>
      <c r="D200" s="11">
        <f>IF(BASE!D200="","",BASE!D200)</f>
        <v/>
      </c>
      <c r="E200" s="11">
        <f>IF(BASE!E200="","",BASE!E200)</f>
        <v/>
      </c>
      <c r="F200" s="11">
        <f>IF(BASE!F200="","",BASE!F200)</f>
        <v/>
      </c>
      <c r="G200" s="28">
        <f>N(BASE!L200)*INDEX(PARAMETROS!$C$25:$F$25,PARAMETROS!$C$9)</f>
        <v/>
      </c>
      <c r="H200" s="14">
        <f>IF(E200="",0,INDEX(PARAMETROS!$C$25:$F$25,PARAMETROS!$C$9)/60*N(BASE!L200)*BASE!P200*(IF(INDEX(PARAMETROS!$C$27:$F$27,PARAMETROS!$C$9)="Real",BASE!N200,N(BASE!H200))*INDEX(PARAMETROS!$C$26:$F$26,PARAMETROS!$C$9)+BASE!O200))</f>
        <v/>
      </c>
      <c r="I200" s="14">
        <f>IF(F200="",0,INDEX(PARAMETROS!$C$25:$F$25,PARAMETROS!$C$9)/60*N(BASE!L200)*(IF(INDEX(PARAMETROS!$C$27:$F$27,PARAMETROS!$C$9)="Real",BASE!N200,N(BASE!H200))*INDEX(PARAMETROS!$C$26:$F$26,PARAMETROS!$C$9)+BASE!O200))</f>
        <v/>
      </c>
      <c r="J200" s="15">
        <f>MAX(IFERROR(INDEX(CAP_CELULA!$J$6:$J$65,(PARAMETROS!$C$9-1)*15+MATCH(E200,MAO_OBRA!$A$6:$A$20,0)),0),IFERROR(INDEX(USINAGEM!$I$6:$I$29,(PARAMETROS!$C$9-1)*6+MATCH(F200,PARAMETROS!$B$32:$B$37,0)),0))</f>
        <v/>
      </c>
      <c r="K200" s="12">
        <f>IF(AND(C200&lt;&gt;"",J200&gt;0,J200=SUMPRODUCT(MAX(($B$6:$B$205=B200)*($C$6:$C$205=C200)*$J$6:$J$205))),"◄ GARGALO","")</f>
        <v/>
      </c>
      <c r="L200" s="33">
        <f>H200+I200+ROW()/10000000</f>
        <v/>
      </c>
    </row>
    <row r="201">
      <c r="A201" s="11">
        <f>IF(BASE!A201="","",BASE!A201)</f>
        <v/>
      </c>
      <c r="B201" s="11">
        <f>IF(BASE!B201="","",BASE!B201)</f>
        <v/>
      </c>
      <c r="C201" s="11">
        <f>IF(BASE!C201="","",BASE!C201)</f>
        <v/>
      </c>
      <c r="D201" s="11">
        <f>IF(BASE!D201="","",BASE!D201)</f>
        <v/>
      </c>
      <c r="E201" s="11">
        <f>IF(BASE!E201="","",BASE!E201)</f>
        <v/>
      </c>
      <c r="F201" s="11">
        <f>IF(BASE!F201="","",BASE!F201)</f>
        <v/>
      </c>
      <c r="G201" s="28">
        <f>N(BASE!L201)*INDEX(PARAMETROS!$C$25:$F$25,PARAMETROS!$C$9)</f>
        <v/>
      </c>
      <c r="H201" s="14">
        <f>IF(E201="",0,INDEX(PARAMETROS!$C$25:$F$25,PARAMETROS!$C$9)/60*N(BASE!L201)*BASE!P201*(IF(INDEX(PARAMETROS!$C$27:$F$27,PARAMETROS!$C$9)="Real",BASE!N201,N(BASE!H201))*INDEX(PARAMETROS!$C$26:$F$26,PARAMETROS!$C$9)+BASE!O201))</f>
        <v/>
      </c>
      <c r="I201" s="14">
        <f>IF(F201="",0,INDEX(PARAMETROS!$C$25:$F$25,PARAMETROS!$C$9)/60*N(BASE!L201)*(IF(INDEX(PARAMETROS!$C$27:$F$27,PARAMETROS!$C$9)="Real",BASE!N201,N(BASE!H201))*INDEX(PARAMETROS!$C$26:$F$26,PARAMETROS!$C$9)+BASE!O201))</f>
        <v/>
      </c>
      <c r="J201" s="15">
        <f>MAX(IFERROR(INDEX(CAP_CELULA!$J$6:$J$65,(PARAMETROS!$C$9-1)*15+MATCH(E201,MAO_OBRA!$A$6:$A$20,0)),0),IFERROR(INDEX(USINAGEM!$I$6:$I$29,(PARAMETROS!$C$9-1)*6+MATCH(F201,PARAMETROS!$B$32:$B$37,0)),0))</f>
        <v/>
      </c>
      <c r="K201" s="12">
        <f>IF(AND(C201&lt;&gt;"",J201&gt;0,J201=SUMPRODUCT(MAX(($B$6:$B$205=B201)*($C$6:$C$205=C201)*$J$6:$J$205))),"◄ GARGALO","")</f>
        <v/>
      </c>
      <c r="L201" s="33">
        <f>H201+I201+ROW()/10000000</f>
        <v/>
      </c>
    </row>
    <row r="202">
      <c r="A202" s="11">
        <f>IF(BASE!A202="","",BASE!A202)</f>
        <v/>
      </c>
      <c r="B202" s="11">
        <f>IF(BASE!B202="","",BASE!B202)</f>
        <v/>
      </c>
      <c r="C202" s="11">
        <f>IF(BASE!C202="","",BASE!C202)</f>
        <v/>
      </c>
      <c r="D202" s="11">
        <f>IF(BASE!D202="","",BASE!D202)</f>
        <v/>
      </c>
      <c r="E202" s="11">
        <f>IF(BASE!E202="","",BASE!E202)</f>
        <v/>
      </c>
      <c r="F202" s="11">
        <f>IF(BASE!F202="","",BASE!F202)</f>
        <v/>
      </c>
      <c r="G202" s="28">
        <f>N(BASE!L202)*INDEX(PARAMETROS!$C$25:$F$25,PARAMETROS!$C$9)</f>
        <v/>
      </c>
      <c r="H202" s="14">
        <f>IF(E202="",0,INDEX(PARAMETROS!$C$25:$F$25,PARAMETROS!$C$9)/60*N(BASE!L202)*BASE!P202*(IF(INDEX(PARAMETROS!$C$27:$F$27,PARAMETROS!$C$9)="Real",BASE!N202,N(BASE!H202))*INDEX(PARAMETROS!$C$26:$F$26,PARAMETROS!$C$9)+BASE!O202))</f>
        <v/>
      </c>
      <c r="I202" s="14">
        <f>IF(F202="",0,INDEX(PARAMETROS!$C$25:$F$25,PARAMETROS!$C$9)/60*N(BASE!L202)*(IF(INDEX(PARAMETROS!$C$27:$F$27,PARAMETROS!$C$9)="Real",BASE!N202,N(BASE!H202))*INDEX(PARAMETROS!$C$26:$F$26,PARAMETROS!$C$9)+BASE!O202))</f>
        <v/>
      </c>
      <c r="J202" s="15">
        <f>MAX(IFERROR(INDEX(CAP_CELULA!$J$6:$J$65,(PARAMETROS!$C$9-1)*15+MATCH(E202,MAO_OBRA!$A$6:$A$20,0)),0),IFERROR(INDEX(USINAGEM!$I$6:$I$29,(PARAMETROS!$C$9-1)*6+MATCH(F202,PARAMETROS!$B$32:$B$37,0)),0))</f>
        <v/>
      </c>
      <c r="K202" s="12">
        <f>IF(AND(C202&lt;&gt;"",J202&gt;0,J202=SUMPRODUCT(MAX(($B$6:$B$205=B202)*($C$6:$C$205=C202)*$J$6:$J$205))),"◄ GARGALO","")</f>
        <v/>
      </c>
      <c r="L202" s="33">
        <f>H202+I202+ROW()/10000000</f>
        <v/>
      </c>
    </row>
    <row r="203">
      <c r="A203" s="11">
        <f>IF(BASE!A203="","",BASE!A203)</f>
        <v/>
      </c>
      <c r="B203" s="11">
        <f>IF(BASE!B203="","",BASE!B203)</f>
        <v/>
      </c>
      <c r="C203" s="11">
        <f>IF(BASE!C203="","",BASE!C203)</f>
        <v/>
      </c>
      <c r="D203" s="11">
        <f>IF(BASE!D203="","",BASE!D203)</f>
        <v/>
      </c>
      <c r="E203" s="11">
        <f>IF(BASE!E203="","",BASE!E203)</f>
        <v/>
      </c>
      <c r="F203" s="11">
        <f>IF(BASE!F203="","",BASE!F203)</f>
        <v/>
      </c>
      <c r="G203" s="28">
        <f>N(BASE!L203)*INDEX(PARAMETROS!$C$25:$F$25,PARAMETROS!$C$9)</f>
        <v/>
      </c>
      <c r="H203" s="14">
        <f>IF(E203="",0,INDEX(PARAMETROS!$C$25:$F$25,PARAMETROS!$C$9)/60*N(BASE!L203)*BASE!P203*(IF(INDEX(PARAMETROS!$C$27:$F$27,PARAMETROS!$C$9)="Real",BASE!N203,N(BASE!H203))*INDEX(PARAMETROS!$C$26:$F$26,PARAMETROS!$C$9)+BASE!O203))</f>
        <v/>
      </c>
      <c r="I203" s="14">
        <f>IF(F203="",0,INDEX(PARAMETROS!$C$25:$F$25,PARAMETROS!$C$9)/60*N(BASE!L203)*(IF(INDEX(PARAMETROS!$C$27:$F$27,PARAMETROS!$C$9)="Real",BASE!N203,N(BASE!H203))*INDEX(PARAMETROS!$C$26:$F$26,PARAMETROS!$C$9)+BASE!O203))</f>
        <v/>
      </c>
      <c r="J203" s="15">
        <f>MAX(IFERROR(INDEX(CAP_CELULA!$J$6:$J$65,(PARAMETROS!$C$9-1)*15+MATCH(E203,MAO_OBRA!$A$6:$A$20,0)),0),IFERROR(INDEX(USINAGEM!$I$6:$I$29,(PARAMETROS!$C$9-1)*6+MATCH(F203,PARAMETROS!$B$32:$B$37,0)),0))</f>
        <v/>
      </c>
      <c r="K203" s="12">
        <f>IF(AND(C203&lt;&gt;"",J203&gt;0,J203=SUMPRODUCT(MAX(($B$6:$B$205=B203)*($C$6:$C$205=C203)*$J$6:$J$205))),"◄ GARGALO","")</f>
        <v/>
      </c>
      <c r="L203" s="33">
        <f>H203+I203+ROW()/10000000</f>
        <v/>
      </c>
    </row>
    <row r="204">
      <c r="A204" s="11">
        <f>IF(BASE!A204="","",BASE!A204)</f>
        <v/>
      </c>
      <c r="B204" s="11">
        <f>IF(BASE!B204="","",BASE!B204)</f>
        <v/>
      </c>
      <c r="C204" s="11">
        <f>IF(BASE!C204="","",BASE!C204)</f>
        <v/>
      </c>
      <c r="D204" s="11">
        <f>IF(BASE!D204="","",BASE!D204)</f>
        <v/>
      </c>
      <c r="E204" s="11">
        <f>IF(BASE!E204="","",BASE!E204)</f>
        <v/>
      </c>
      <c r="F204" s="11">
        <f>IF(BASE!F204="","",BASE!F204)</f>
        <v/>
      </c>
      <c r="G204" s="28">
        <f>N(BASE!L204)*INDEX(PARAMETROS!$C$25:$F$25,PARAMETROS!$C$9)</f>
        <v/>
      </c>
      <c r="H204" s="14">
        <f>IF(E204="",0,INDEX(PARAMETROS!$C$25:$F$25,PARAMETROS!$C$9)/60*N(BASE!L204)*BASE!P204*(IF(INDEX(PARAMETROS!$C$27:$F$27,PARAMETROS!$C$9)="Real",BASE!N204,N(BASE!H204))*INDEX(PARAMETROS!$C$26:$F$26,PARAMETROS!$C$9)+BASE!O204))</f>
        <v/>
      </c>
      <c r="I204" s="14">
        <f>IF(F204="",0,INDEX(PARAMETROS!$C$25:$F$25,PARAMETROS!$C$9)/60*N(BASE!L204)*(IF(INDEX(PARAMETROS!$C$27:$F$27,PARAMETROS!$C$9)="Real",BASE!N204,N(BASE!H204))*INDEX(PARAMETROS!$C$26:$F$26,PARAMETROS!$C$9)+BASE!O204))</f>
        <v/>
      </c>
      <c r="J204" s="15">
        <f>MAX(IFERROR(INDEX(CAP_CELULA!$J$6:$J$65,(PARAMETROS!$C$9-1)*15+MATCH(E204,MAO_OBRA!$A$6:$A$20,0)),0),IFERROR(INDEX(USINAGEM!$I$6:$I$29,(PARAMETROS!$C$9-1)*6+MATCH(F204,PARAMETROS!$B$32:$B$37,0)),0))</f>
        <v/>
      </c>
      <c r="K204" s="12">
        <f>IF(AND(C204&lt;&gt;"",J204&gt;0,J204=SUMPRODUCT(MAX(($B$6:$B$205=B204)*($C$6:$C$205=C204)*$J$6:$J$205))),"◄ GARGALO","")</f>
        <v/>
      </c>
      <c r="L204" s="33">
        <f>H204+I204+ROW()/10000000</f>
        <v/>
      </c>
    </row>
    <row r="205">
      <c r="A205" s="11">
        <f>IF(BASE!A205="","",BASE!A205)</f>
        <v/>
      </c>
      <c r="B205" s="11">
        <f>IF(BASE!B205="","",BASE!B205)</f>
        <v/>
      </c>
      <c r="C205" s="11">
        <f>IF(BASE!C205="","",BASE!C205)</f>
        <v/>
      </c>
      <c r="D205" s="11">
        <f>IF(BASE!D205="","",BASE!D205)</f>
        <v/>
      </c>
      <c r="E205" s="11">
        <f>IF(BASE!E205="","",BASE!E205)</f>
        <v/>
      </c>
      <c r="F205" s="11">
        <f>IF(BASE!F205="","",BASE!F205)</f>
        <v/>
      </c>
      <c r="G205" s="28">
        <f>N(BASE!L205)*INDEX(PARAMETROS!$C$25:$F$25,PARAMETROS!$C$9)</f>
        <v/>
      </c>
      <c r="H205" s="14">
        <f>IF(E205="",0,INDEX(PARAMETROS!$C$25:$F$25,PARAMETROS!$C$9)/60*N(BASE!L205)*BASE!P205*(IF(INDEX(PARAMETROS!$C$27:$F$27,PARAMETROS!$C$9)="Real",BASE!N205,N(BASE!H205))*INDEX(PARAMETROS!$C$26:$F$26,PARAMETROS!$C$9)+BASE!O205))</f>
        <v/>
      </c>
      <c r="I205" s="14">
        <f>IF(F205="",0,INDEX(PARAMETROS!$C$25:$F$25,PARAMETROS!$C$9)/60*N(BASE!L205)*(IF(INDEX(PARAMETROS!$C$27:$F$27,PARAMETROS!$C$9)="Real",BASE!N205,N(BASE!H205))*INDEX(PARAMETROS!$C$26:$F$26,PARAMETROS!$C$9)+BASE!O205))</f>
        <v/>
      </c>
      <c r="J205" s="15">
        <f>MAX(IFERROR(INDEX(CAP_CELULA!$J$6:$J$65,(PARAMETROS!$C$9-1)*15+MATCH(E205,MAO_OBRA!$A$6:$A$20,0)),0),IFERROR(INDEX(USINAGEM!$I$6:$I$29,(PARAMETROS!$C$9-1)*6+MATCH(F205,PARAMETROS!$B$32:$B$37,0)),0))</f>
        <v/>
      </c>
      <c r="K205" s="12">
        <f>IF(AND(C205&lt;&gt;"",J205&gt;0,J205=SUMPRODUCT(MAX(($B$6:$B$205=B205)*($C$6:$C$205=C205)*$J$6:$J$205))),"◄ GARGALO","")</f>
        <v/>
      </c>
      <c r="L205" s="33">
        <f>H205+I205+ROW()/10000000</f>
        <v/>
      </c>
    </row>
  </sheetData>
  <autoFilter ref="A5:L205"/>
  <conditionalFormatting sqref="K6:K205">
    <cfRule type="expression" priority="1" dxfId="0">
      <formula>K6&lt;&gt;""</formula>
    </cfRule>
  </conditionalFormatting>
  <conditionalFormatting sqref="J6:J205">
    <cfRule type="expression" priority="2" dxfId="0">
      <formula>AND(J6&gt;=PARAMETROS!$C$7,J6&lt;&gt;0)</formula>
    </cfRule>
    <cfRule type="expression" priority="3" dxfId="1">
      <formula>AND(J6&gt;=PARAMETROS!$C$6,J6&lt;PARAMETROS!$C$7)</formula>
    </cfRule>
    <cfRule type="expression" priority="4" dxfId="2">
      <formula>AND(J6&gt;0,J6&lt;PARAMETROS!$C$6)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COMPARATIVO DE CENÁRIOS</t>
        </is>
      </c>
    </row>
    <row r="2">
      <c r="A2" s="4" t="inlineStr">
        <is>
          <t>Resultados lado a lado. Parâmetros dos cenários em PARAMETROS (C17:F28).</t>
        </is>
      </c>
    </row>
    <row r="4" ht="32" customHeight="1">
      <c r="A4" s="5" t="inlineStr"/>
      <c r="B4" s="5" t="inlineStr">
        <is>
          <t>Indicador</t>
        </is>
      </c>
      <c r="C4" s="5">
        <f>PARAMETROS!C17</f>
        <v/>
      </c>
      <c r="D4" s="5">
        <f>PARAMETROS!D17</f>
        <v/>
      </c>
      <c r="E4" s="5">
        <f>PARAMETROS!E17</f>
        <v/>
      </c>
      <c r="F4" s="5">
        <f>PARAMETROS!F17</f>
        <v/>
      </c>
    </row>
    <row r="5">
      <c r="B5" s="25" t="inlineStr">
        <is>
          <t>Funcionários disponíveis</t>
        </is>
      </c>
      <c r="C5" s="13">
        <f>SUMIF(CAP_CELULA!$A$6:$A$65,1,CAP_CELULA!$E$6:$E$65)</f>
        <v/>
      </c>
      <c r="D5" s="13">
        <f>SUMIF(CAP_CELULA!$A$6:$A$65,2,CAP_CELULA!$E$6:$E$65)</f>
        <v/>
      </c>
      <c r="E5" s="13">
        <f>SUMIF(CAP_CELULA!$A$6:$A$65,3,CAP_CELULA!$E$6:$E$65)</f>
        <v/>
      </c>
      <c r="F5" s="13">
        <f>SUMIF(CAP_CELULA!$A$6:$A$65,4,CAP_CELULA!$E$6:$E$65)</f>
        <v/>
      </c>
    </row>
    <row r="6">
      <c r="B6" s="25" t="inlineStr">
        <is>
          <t>Capacidade efetiva (h)</t>
        </is>
      </c>
      <c r="C6" s="14">
        <f>SUMIF(CAP_CELULA!$A$6:$A$65,1,CAP_CELULA!$G$6:$G$65)</f>
        <v/>
      </c>
      <c r="D6" s="14">
        <f>SUMIF(CAP_CELULA!$A$6:$A$65,2,CAP_CELULA!$G$6:$G$65)</f>
        <v/>
      </c>
      <c r="E6" s="14">
        <f>SUMIF(CAP_CELULA!$A$6:$A$65,3,CAP_CELULA!$G$6:$G$65)</f>
        <v/>
      </c>
      <c r="F6" s="14">
        <f>SUMIF(CAP_CELULA!$A$6:$A$65,4,CAP_CELULA!$G$6:$G$65)</f>
        <v/>
      </c>
    </row>
    <row r="7">
      <c r="B7" s="25" t="inlineStr">
        <is>
          <t>Carga planejada (h)</t>
        </is>
      </c>
      <c r="C7" s="14">
        <f>SUMIF(CAP_CELULA!$A$6:$A$65,1,CAP_CELULA!$I$6:$I$65)</f>
        <v/>
      </c>
      <c r="D7" s="14">
        <f>SUMIF(CAP_CELULA!$A$6:$A$65,2,CAP_CELULA!$I$6:$I$65)</f>
        <v/>
      </c>
      <c r="E7" s="14">
        <f>SUMIF(CAP_CELULA!$A$6:$A$65,3,CAP_CELULA!$I$6:$I$65)</f>
        <v/>
      </c>
      <c r="F7" s="14">
        <f>SUMIF(CAP_CELULA!$A$6:$A$65,4,CAP_CELULA!$I$6:$I$65)</f>
        <v/>
      </c>
    </row>
    <row r="8">
      <c r="B8" s="25" t="inlineStr">
        <is>
          <t>Utilização geral</t>
        </is>
      </c>
      <c r="C8" s="15">
        <f>IF(C6&gt;0,C7/C6,0)</f>
        <v/>
      </c>
      <c r="D8" s="15">
        <f>IF(D6&gt;0,D7/D6,0)</f>
        <v/>
      </c>
      <c r="E8" s="15">
        <f>IF(E6&gt;0,E7/E6,0)</f>
        <v/>
      </c>
      <c r="F8" s="15">
        <f>IF(F6&gt;0,F7/F6,0)</f>
        <v/>
      </c>
    </row>
    <row r="9">
      <c r="B9" s="25" t="inlineStr">
        <is>
          <t>Horas excedentes (h)</t>
        </is>
      </c>
      <c r="C9" s="14">
        <f>SUMIF(CAP_CELULA!$A$6:$A$65,1,CAP_CELULA!$M$6:$M$65)</f>
        <v/>
      </c>
      <c r="D9" s="14">
        <f>SUMIF(CAP_CELULA!$A$6:$A$65,2,CAP_CELULA!$M$6:$M$65)</f>
        <v/>
      </c>
      <c r="E9" s="14">
        <f>SUMIF(CAP_CELULA!$A$6:$A$65,3,CAP_CELULA!$M$6:$M$65)</f>
        <v/>
      </c>
      <c r="F9" s="14">
        <f>SUMIF(CAP_CELULA!$A$6:$A$65,4,CAP_CELULA!$M$6:$M$65)</f>
        <v/>
      </c>
    </row>
    <row r="10">
      <c r="B10" s="25" t="inlineStr">
        <is>
          <t>Horas ociosas (h)</t>
        </is>
      </c>
      <c r="C10" s="14">
        <f>SUMIF(CAP_CELULA!$A$6:$A$65,1,CAP_CELULA!$L$6:$L$65)</f>
        <v/>
      </c>
      <c r="D10" s="14">
        <f>SUMIF(CAP_CELULA!$A$6:$A$65,2,CAP_CELULA!$L$6:$L$65)</f>
        <v/>
      </c>
      <c r="E10" s="14">
        <f>SUMIF(CAP_CELULA!$A$6:$A$65,3,CAP_CELULA!$L$6:$L$65)</f>
        <v/>
      </c>
      <c r="F10" s="14">
        <f>SUMIF(CAP_CELULA!$A$6:$A$65,4,CAP_CELULA!$L$6:$L$65)</f>
        <v/>
      </c>
    </row>
    <row r="11">
      <c r="B11" s="25" t="inlineStr">
        <is>
          <t>Horas extras necessárias (h)</t>
        </is>
      </c>
      <c r="C11" s="14">
        <f>SUMIF(CAP_CELULA!$A$6:$A$65,1,CAP_CELULA!$N$6:$N$65)</f>
        <v/>
      </c>
      <c r="D11" s="14">
        <f>SUMIF(CAP_CELULA!$A$6:$A$65,2,CAP_CELULA!$N$6:$N$65)</f>
        <v/>
      </c>
      <c r="E11" s="14">
        <f>SUMIF(CAP_CELULA!$A$6:$A$65,3,CAP_CELULA!$N$6:$N$65)</f>
        <v/>
      </c>
      <c r="F11" s="14">
        <f>SUMIF(CAP_CELULA!$A$6:$A$65,4,CAP_CELULA!$N$6:$N$65)</f>
        <v/>
      </c>
    </row>
    <row r="12">
      <c r="B12" s="25" t="inlineStr">
        <is>
          <t>Funcionários adicionais necessários</t>
        </is>
      </c>
      <c r="C12" s="14">
        <f>SUMIF(CAP_CELULA!$A$6:$A$65,1,CAP_CELULA!$O$6:$O$65)</f>
        <v/>
      </c>
      <c r="D12" s="14">
        <f>SUMIF(CAP_CELULA!$A$6:$A$65,2,CAP_CELULA!$O$6:$O$65)</f>
        <v/>
      </c>
      <c r="E12" s="14">
        <f>SUMIF(CAP_CELULA!$A$6:$A$65,3,CAP_CELULA!$O$6:$O$65)</f>
        <v/>
      </c>
      <c r="F12" s="14">
        <f>SUMIF(CAP_CELULA!$A$6:$A$65,4,CAP_CELULA!$O$6:$O$65)</f>
        <v/>
      </c>
    </row>
    <row r="13">
      <c r="B13" s="25" t="inlineStr">
        <is>
          <t>Funcionários necessários</t>
        </is>
      </c>
      <c r="C13" s="14">
        <f>C5+C12</f>
        <v/>
      </c>
      <c r="D13" s="14">
        <f>D5+D12</f>
        <v/>
      </c>
      <c r="E13" s="14">
        <f>E5+E12</f>
        <v/>
      </c>
      <c r="F13" s="14">
        <f>F5+F12</f>
        <v/>
      </c>
    </row>
    <row r="14">
      <c r="B14" s="25" t="inlineStr">
        <is>
          <t>Sogyodo geral</t>
        </is>
      </c>
      <c r="C14" s="15">
        <f>IF(PARAMETROS!$C$8="Nominal",IF(SUMIF(CAP_CELULA!$A$6:$A$65,1,CAP_CELULA!$F$6:$F$65)&gt;0,C7/SUMIF(CAP_CELULA!$A$6:$A$65,1,CAP_CELULA!$F$6:$F$65),0),C8)</f>
        <v/>
      </c>
      <c r="D14" s="15">
        <f>IF(PARAMETROS!$C$8="Nominal",IF(SUMIF(CAP_CELULA!$A$6:$A$65,2,CAP_CELULA!$F$6:$F$65)&gt;0,D7/SUMIF(CAP_CELULA!$A$6:$A$65,2,CAP_CELULA!$F$6:$F$65),0),D8)</f>
        <v/>
      </c>
      <c r="E14" s="15">
        <f>IF(PARAMETROS!$C$8="Nominal",IF(SUMIF(CAP_CELULA!$A$6:$A$65,3,CAP_CELULA!$F$6:$F$65)&gt;0,E7/SUMIF(CAP_CELULA!$A$6:$A$65,3,CAP_CELULA!$F$6:$F$65),0),E8)</f>
        <v/>
      </c>
      <c r="F14" s="15">
        <f>IF(PARAMETROS!$C$8="Nominal",IF(SUMIF(CAP_CELULA!$A$6:$A$65,4,CAP_CELULA!$F$6:$F$65)&gt;0,F7/SUMIF(CAP_CELULA!$A$6:$A$65,4,CAP_CELULA!$F$6:$F$65),0),F8)</f>
        <v/>
      </c>
    </row>
    <row r="15">
      <c r="B15" s="25" t="inlineStr">
        <is>
          <t>Células INSUFICIENTES</t>
        </is>
      </c>
      <c r="C15" s="13">
        <f>COUNTIFS(CAP_CELULA!$A$6:$A$65,1,CAP_CELULA!$Q$6:$Q$65,"INSUFICIENTE")</f>
        <v/>
      </c>
      <c r="D15" s="13">
        <f>COUNTIFS(CAP_CELULA!$A$6:$A$65,2,CAP_CELULA!$Q$6:$Q$65,"INSUFICIENTE")</f>
        <v/>
      </c>
      <c r="E15" s="13">
        <f>COUNTIFS(CAP_CELULA!$A$6:$A$65,3,CAP_CELULA!$Q$6:$Q$65,"INSUFICIENTE")</f>
        <v/>
      </c>
      <c r="F15" s="13">
        <f>COUNTIFS(CAP_CELULA!$A$6:$A$65,4,CAP_CELULA!$Q$6:$Q$65,"INSUFICIENTE")</f>
        <v/>
      </c>
    </row>
    <row r="16">
      <c r="B16" s="25" t="inlineStr">
        <is>
          <t>Células em ATENÇÃO</t>
        </is>
      </c>
      <c r="C16" s="13">
        <f>COUNTIFS(CAP_CELULA!$A$6:$A$65,1,CAP_CELULA!$Q$6:$Q$65,"ATENÇÃO")</f>
        <v/>
      </c>
      <c r="D16" s="13">
        <f>COUNTIFS(CAP_CELULA!$A$6:$A$65,2,CAP_CELULA!$Q$6:$Q$65,"ATENÇÃO")</f>
        <v/>
      </c>
      <c r="E16" s="13">
        <f>COUNTIFS(CAP_CELULA!$A$6:$A$65,3,CAP_CELULA!$Q$6:$Q$65,"ATENÇÃO")</f>
        <v/>
      </c>
      <c r="F16" s="13">
        <f>COUNTIFS(CAP_CELULA!$A$6:$A$65,4,CAP_CELULA!$Q$6:$Q$65,"ATENÇÃO")</f>
        <v/>
      </c>
    </row>
    <row r="17">
      <c r="B17" s="25" t="inlineStr">
        <is>
          <t>Máquinas INSUFICIENTES</t>
        </is>
      </c>
      <c r="C17" s="13">
        <f>COUNTIFS(USINAGEM!$A$6:$A$29,1,USINAGEM!$N$6:$N$29,"INSUFICIENTE")</f>
        <v/>
      </c>
      <c r="D17" s="13">
        <f>COUNTIFS(USINAGEM!$A$6:$A$29,2,USINAGEM!$N$6:$N$29,"INSUFICIENTE")</f>
        <v/>
      </c>
      <c r="E17" s="13">
        <f>COUNTIFS(USINAGEM!$A$6:$A$29,3,USINAGEM!$N$6:$N$29,"INSUFICIENTE")</f>
        <v/>
      </c>
      <c r="F17" s="13">
        <f>COUNTIFS(USINAGEM!$A$6:$A$29,4,USINAGEM!$N$6:$N$29,"INSUFICIENTE")</f>
        <v/>
      </c>
    </row>
    <row r="18">
      <c r="B18" s="25" t="inlineStr">
        <is>
          <t>Maior utilização na usinagem</t>
        </is>
      </c>
      <c r="C18" s="15">
        <f>SUMPRODUCT(MAX((USINAGEM!$A$6:$A$29=1)*USINAGEM!$I$6:$I$29))</f>
        <v/>
      </c>
      <c r="D18" s="15">
        <f>SUMPRODUCT(MAX((USINAGEM!$A$6:$A$29=2)*USINAGEM!$I$6:$I$29))</f>
        <v/>
      </c>
      <c r="E18" s="15">
        <f>SUMPRODUCT(MAX((USINAGEM!$A$6:$A$29=3)*USINAGEM!$I$6:$I$29))</f>
        <v/>
      </c>
      <c r="F18" s="15">
        <f>SUMPRODUCT(MAX((USINAGEM!$A$6:$A$29=4)*USINAGEM!$I$6:$I$29))</f>
        <v/>
      </c>
    </row>
    <row r="19">
      <c r="B19" s="25" t="inlineStr">
        <is>
          <t>Demanda mensal total (pç)</t>
        </is>
      </c>
      <c r="C19" s="28">
        <f>SUM(BASE!$L$6:$L$205)*PARAMETROS!C25</f>
        <v/>
      </c>
      <c r="D19" s="28">
        <f>SUM(BASE!$L$6:$L$205)*PARAMETROS!D25</f>
        <v/>
      </c>
      <c r="E19" s="28">
        <f>SUM(BASE!$L$6:$L$205)*PARAMETROS!E25</f>
        <v/>
      </c>
      <c r="F19" s="28">
        <f>SUM(BASE!$L$6:$L$205)*PARAMETROS!F25</f>
        <v/>
      </c>
    </row>
    <row r="20">
      <c r="B20" s="25" t="inlineStr">
        <is>
          <t>Capacidade equivalente (pç/mês)</t>
        </is>
      </c>
      <c r="C20" s="28">
        <f>IF(C7&gt;0,C19*C6/C7,0)</f>
        <v/>
      </c>
      <c r="D20" s="28">
        <f>IF(D7&gt;0,D19*D6/D7,0)</f>
        <v/>
      </c>
      <c r="E20" s="28">
        <f>IF(E7&gt;0,E19*E6/E7,0)</f>
        <v/>
      </c>
      <c r="F20" s="28">
        <f>IF(F7&gt;0,F19*F6/F7,0)</f>
        <v/>
      </c>
    </row>
  </sheetData>
  <conditionalFormatting sqref="C8:F8">
    <cfRule type="expression" priority="1" dxfId="0">
      <formula>AND(C8&gt;=PARAMETROS!$C$7,C8&lt;&gt;0)</formula>
    </cfRule>
    <cfRule type="expression" priority="2" dxfId="1">
      <formula>AND(C8&gt;=PARAMETROS!$C$6,C8&lt;PARAMETROS!$C$7)</formula>
    </cfRule>
    <cfRule type="expression" priority="3" dxfId="2">
      <formula>AND(C8&gt;0,C8&lt;PARAMETROS!$C$6)</formula>
    </cfRule>
  </conditionalFormatting>
  <conditionalFormatting sqref="C18:F18">
    <cfRule type="expression" priority="4" dxfId="0">
      <formula>AND(C18&gt;=PARAMETROS!$C$7,C18&lt;&gt;0)</formula>
    </cfRule>
    <cfRule type="expression" priority="5" dxfId="1">
      <formula>AND(C18&gt;=PARAMETROS!$C$6,C18&lt;PARAMETROS!$C$7)</formula>
    </cfRule>
    <cfRule type="expression" priority="6" dxfId="2">
      <formula>AND(C18&gt;0,C18&lt;PARAMETROS!$C$6)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0" customWidth="1" min="16" max="16"/>
  </cols>
  <sheetData>
    <row r="1">
      <c r="A1" s="1" t="inlineStr">
        <is>
          <t>PLANO DE PRODUÇÃO (máquinas/mês) E DIAS ÚTEIS</t>
        </is>
      </c>
    </row>
    <row r="2">
      <c r="A2" s="4" t="inlineStr">
        <is>
          <t>Fonte: 3. Production Plan e 1.Available (arquivo Gilmar). Edite as quantidades; a BASE e todos os cálculos atualizam.</t>
        </is>
      </c>
    </row>
    <row r="4" ht="32" customHeight="1">
      <c r="A4" s="5" t="inlineStr"/>
      <c r="B4" s="5" t="inlineStr">
        <is>
          <t>Modelo</t>
        </is>
      </c>
      <c r="C4" s="5" t="inlineStr">
        <is>
          <t>abr/26</t>
        </is>
      </c>
      <c r="D4" s="5" t="inlineStr">
        <is>
          <t>mai/26</t>
        </is>
      </c>
      <c r="E4" s="5" t="inlineStr">
        <is>
          <t>jun/26</t>
        </is>
      </c>
      <c r="F4" s="5" t="inlineStr">
        <is>
          <t>jul/26</t>
        </is>
      </c>
      <c r="G4" s="5" t="inlineStr">
        <is>
          <t>ago/26</t>
        </is>
      </c>
      <c r="H4" s="5" t="inlineStr">
        <is>
          <t>set/26</t>
        </is>
      </c>
      <c r="I4" s="5" t="inlineStr">
        <is>
          <t>out/26</t>
        </is>
      </c>
      <c r="J4" s="5" t="inlineStr">
        <is>
          <t>nov/26</t>
        </is>
      </c>
      <c r="K4" s="5" t="inlineStr">
        <is>
          <t>dez/26</t>
        </is>
      </c>
      <c r="L4" s="5" t="inlineStr">
        <is>
          <t>jan/27</t>
        </is>
      </c>
      <c r="M4" s="5" t="inlineStr">
        <is>
          <t>fev/27</t>
        </is>
      </c>
      <c r="N4" s="5" t="inlineStr">
        <is>
          <t>mar/27</t>
        </is>
      </c>
      <c r="O4" s="5" t="inlineStr">
        <is>
          <t>Média</t>
        </is>
      </c>
      <c r="P4" s="5" t="inlineStr">
        <is>
          <t>Família</t>
        </is>
      </c>
    </row>
    <row r="5">
      <c r="B5" s="39" t="inlineStr">
        <is>
          <t>Dias úteis</t>
        </is>
      </c>
      <c r="C5" s="20" t="n">
        <v>19</v>
      </c>
      <c r="D5" s="20" t="n">
        <v>20</v>
      </c>
      <c r="E5" s="20" t="n">
        <v>21</v>
      </c>
      <c r="F5" s="20" t="n">
        <v>18</v>
      </c>
      <c r="G5" s="20" t="n">
        <v>21</v>
      </c>
      <c r="H5" s="20" t="n">
        <v>21</v>
      </c>
      <c r="I5" s="20" t="n">
        <v>21</v>
      </c>
      <c r="J5" s="20" t="n">
        <v>19</v>
      </c>
      <c r="K5" s="20" t="n">
        <v>18</v>
      </c>
      <c r="L5" s="20" t="n">
        <v>13</v>
      </c>
      <c r="M5" s="20" t="n">
        <v>20</v>
      </c>
      <c r="N5" s="20" t="n">
        <v>18</v>
      </c>
      <c r="O5" s="40">
        <f>AVERAGE(C5:N5)</f>
        <v/>
      </c>
    </row>
    <row r="6">
      <c r="B6" s="3" t="inlineStr">
        <is>
          <t>D51-22</t>
        </is>
      </c>
      <c r="C6" s="20" t="n">
        <v>6</v>
      </c>
      <c r="D6" s="20" t="n">
        <v>20</v>
      </c>
      <c r="E6" s="20" t="n">
        <v>8</v>
      </c>
      <c r="F6" s="20" t="n">
        <v>18</v>
      </c>
      <c r="G6" s="20" t="n">
        <v>13</v>
      </c>
      <c r="H6" s="20" t="n">
        <v>8</v>
      </c>
      <c r="I6" s="20" t="n">
        <v>14</v>
      </c>
      <c r="J6" s="20" t="n">
        <v>18</v>
      </c>
      <c r="K6" s="20" t="n">
        <v>12</v>
      </c>
      <c r="L6" s="20" t="n">
        <v>9</v>
      </c>
      <c r="M6" s="20" t="n">
        <v>16</v>
      </c>
      <c r="N6" s="20" t="n">
        <v>18</v>
      </c>
      <c r="O6" s="40">
        <f>IF(B6="","",AVERAGE(C6:N6))</f>
        <v/>
      </c>
      <c r="P6" s="3" t="inlineStr">
        <is>
          <t>CT</t>
        </is>
      </c>
    </row>
    <row r="7">
      <c r="B7" s="3" t="inlineStr">
        <is>
          <t>D51-24</t>
        </is>
      </c>
      <c r="C7" s="20" t="n">
        <v>19</v>
      </c>
      <c r="D7" s="20" t="n">
        <v>22</v>
      </c>
      <c r="E7" s="20" t="n">
        <v>22</v>
      </c>
      <c r="F7" s="20" t="n">
        <v>3</v>
      </c>
      <c r="G7" s="20" t="n">
        <v>15</v>
      </c>
      <c r="H7" s="20" t="n">
        <v>20</v>
      </c>
      <c r="I7" s="20" t="n">
        <v>23</v>
      </c>
      <c r="J7" s="20" t="n">
        <v>42</v>
      </c>
      <c r="K7" s="20" t="n">
        <v>35</v>
      </c>
      <c r="L7" s="20" t="n">
        <v>16</v>
      </c>
      <c r="M7" s="20" t="n">
        <v>27</v>
      </c>
      <c r="N7" s="20" t="n">
        <v>17</v>
      </c>
      <c r="O7" s="40">
        <f>IF(B7="","",AVERAGE(C7:N7))</f>
        <v/>
      </c>
      <c r="P7" s="3" t="inlineStr">
        <is>
          <t>CT</t>
        </is>
      </c>
    </row>
    <row r="8">
      <c r="B8" s="3" t="inlineStr">
        <is>
          <t>D61-23</t>
        </is>
      </c>
      <c r="C8" s="20" t="n">
        <v>17</v>
      </c>
      <c r="D8" s="20" t="n">
        <v>32</v>
      </c>
      <c r="E8" s="20" t="n">
        <v>15</v>
      </c>
      <c r="F8" s="20" t="n">
        <v>27</v>
      </c>
      <c r="G8" s="20" t="n">
        <v>27</v>
      </c>
      <c r="H8" s="20" t="n">
        <v>26</v>
      </c>
      <c r="I8" s="20" t="n">
        <v>16</v>
      </c>
      <c r="J8" s="20" t="n">
        <v>27</v>
      </c>
      <c r="K8" s="20" t="n">
        <v>15</v>
      </c>
      <c r="L8" s="20" t="n">
        <v>13</v>
      </c>
      <c r="M8" s="20" t="n">
        <v>26</v>
      </c>
      <c r="N8" s="20" t="n">
        <v>29</v>
      </c>
      <c r="O8" s="40">
        <f>IF(B8="","",AVERAGE(C8:N8))</f>
        <v/>
      </c>
      <c r="P8" s="3" t="inlineStr">
        <is>
          <t>CT</t>
        </is>
      </c>
    </row>
    <row r="9">
      <c r="B9" s="3" t="inlineStr">
        <is>
          <t>D61-24</t>
        </is>
      </c>
      <c r="C9" s="20" t="n">
        <v>24</v>
      </c>
      <c r="D9" s="20" t="n">
        <v>36</v>
      </c>
      <c r="E9" s="20" t="n">
        <v>43</v>
      </c>
      <c r="F9" s="20" t="n">
        <v>38</v>
      </c>
      <c r="G9" s="20" t="n">
        <v>34</v>
      </c>
      <c r="H9" s="20" t="n">
        <v>45</v>
      </c>
      <c r="I9" s="20" t="n">
        <v>45</v>
      </c>
      <c r="J9" s="20" t="n">
        <v>27</v>
      </c>
      <c r="K9" s="20" t="n">
        <v>47</v>
      </c>
      <c r="L9" s="20" t="n">
        <v>46</v>
      </c>
      <c r="M9" s="20" t="n">
        <v>38</v>
      </c>
      <c r="N9" s="20" t="n">
        <v>28</v>
      </c>
      <c r="O9" s="40">
        <f>IF(B9="","",AVERAGE(C9:N9))</f>
        <v/>
      </c>
      <c r="P9" s="3" t="inlineStr">
        <is>
          <t>CT</t>
        </is>
      </c>
    </row>
    <row r="10">
      <c r="B10" s="3" t="inlineStr">
        <is>
          <t>D71-24</t>
        </is>
      </c>
      <c r="C10" s="20" t="n">
        <v>0</v>
      </c>
      <c r="D10" s="20" t="n">
        <v>0</v>
      </c>
      <c r="E10" s="20" t="n">
        <v>0</v>
      </c>
      <c r="F10" s="20" t="n">
        <v>0</v>
      </c>
      <c r="G10" s="20" t="n">
        <v>0</v>
      </c>
      <c r="H10" s="20" t="n">
        <v>0</v>
      </c>
      <c r="I10" s="20" t="n">
        <v>0</v>
      </c>
      <c r="J10" s="20" t="n">
        <v>0</v>
      </c>
      <c r="K10" s="20" t="n">
        <v>0</v>
      </c>
      <c r="L10" s="20" t="n">
        <v>0</v>
      </c>
      <c r="M10" s="20" t="n">
        <v>0</v>
      </c>
      <c r="N10" s="20" t="n">
        <v>0</v>
      </c>
      <c r="O10" s="40">
        <f>IF(B10="","",AVERAGE(C10:N10))</f>
        <v/>
      </c>
      <c r="P10" s="3" t="inlineStr">
        <is>
          <t>CT</t>
        </is>
      </c>
    </row>
    <row r="11">
      <c r="B11" s="3" t="inlineStr">
        <is>
          <t>GD655-5</t>
        </is>
      </c>
      <c r="C11" s="20" t="n">
        <v>4</v>
      </c>
      <c r="D11" s="20" t="n">
        <v>10</v>
      </c>
      <c r="E11" s="20" t="n">
        <v>7</v>
      </c>
      <c r="F11" s="20" t="n">
        <v>8</v>
      </c>
      <c r="G11" s="20" t="n">
        <v>10</v>
      </c>
      <c r="H11" s="20" t="n">
        <v>11</v>
      </c>
      <c r="I11" s="20" t="n">
        <v>10</v>
      </c>
      <c r="J11" s="20" t="n">
        <v>8</v>
      </c>
      <c r="K11" s="20" t="n">
        <v>11</v>
      </c>
      <c r="L11" s="20" t="n">
        <v>9</v>
      </c>
      <c r="M11" s="20" t="n">
        <v>10</v>
      </c>
      <c r="N11" s="20" t="n">
        <v>10</v>
      </c>
      <c r="O11" s="40">
        <f>IF(B11="","",AVERAGE(C11:N11))</f>
        <v/>
      </c>
      <c r="P11" s="3" t="inlineStr">
        <is>
          <t>MG</t>
        </is>
      </c>
    </row>
    <row r="12">
      <c r="B12" s="3" t="inlineStr">
        <is>
          <t>PC130</t>
        </is>
      </c>
      <c r="C12" s="20" t="n">
        <v>12</v>
      </c>
      <c r="D12" s="20" t="n">
        <v>23</v>
      </c>
      <c r="E12" s="20" t="n">
        <v>17</v>
      </c>
      <c r="F12" s="20" t="n">
        <v>12</v>
      </c>
      <c r="G12" s="20" t="n">
        <v>26</v>
      </c>
      <c r="H12" s="20" t="n">
        <v>24</v>
      </c>
      <c r="I12" s="20" t="n">
        <v>18</v>
      </c>
      <c r="J12" s="20" t="n">
        <v>18</v>
      </c>
      <c r="K12" s="20" t="n">
        <v>15</v>
      </c>
      <c r="L12" s="20" t="n">
        <v>13</v>
      </c>
      <c r="M12" s="20" t="n">
        <v>20</v>
      </c>
      <c r="N12" s="20" t="n">
        <v>24</v>
      </c>
      <c r="O12" s="40">
        <f>IF(B12="","",AVERAGE(C12:N12))</f>
        <v/>
      </c>
      <c r="P12" s="3" t="inlineStr">
        <is>
          <t>HE/PC</t>
        </is>
      </c>
    </row>
    <row r="13">
      <c r="B13" s="3" t="inlineStr">
        <is>
          <t>PC160</t>
        </is>
      </c>
      <c r="C13" s="20" t="n">
        <v>2</v>
      </c>
      <c r="D13" s="20" t="n">
        <v>11</v>
      </c>
      <c r="E13" s="20" t="n">
        <v>4</v>
      </c>
      <c r="F13" s="20" t="n">
        <v>4</v>
      </c>
      <c r="G13" s="20" t="n">
        <v>0</v>
      </c>
      <c r="H13" s="20" t="n">
        <v>3</v>
      </c>
      <c r="I13" s="20" t="n">
        <v>3</v>
      </c>
      <c r="J13" s="20" t="n">
        <v>0</v>
      </c>
      <c r="K13" s="20" t="n">
        <v>0</v>
      </c>
      <c r="L13" s="20" t="n">
        <v>0</v>
      </c>
      <c r="M13" s="20" t="n">
        <v>0</v>
      </c>
      <c r="N13" s="20" t="n">
        <v>0</v>
      </c>
      <c r="O13" s="40">
        <f>IF(B13="","",AVERAGE(C13:N13))</f>
        <v/>
      </c>
      <c r="P13" s="3" t="inlineStr">
        <is>
          <t>HE/PC</t>
        </is>
      </c>
    </row>
    <row r="14">
      <c r="B14" s="3" t="inlineStr">
        <is>
          <t>PC200</t>
        </is>
      </c>
      <c r="C14" s="20" t="n">
        <v>20</v>
      </c>
      <c r="D14" s="20" t="n">
        <v>18</v>
      </c>
      <c r="E14" s="20" t="n">
        <v>22</v>
      </c>
      <c r="F14" s="20" t="n">
        <v>21</v>
      </c>
      <c r="G14" s="20" t="n">
        <v>25</v>
      </c>
      <c r="H14" s="20" t="n">
        <v>25</v>
      </c>
      <c r="I14" s="20" t="n">
        <v>16</v>
      </c>
      <c r="J14" s="20" t="n">
        <v>22</v>
      </c>
      <c r="K14" s="20" t="n">
        <v>19</v>
      </c>
      <c r="L14" s="20" t="n">
        <v>17</v>
      </c>
      <c r="M14" s="20" t="n">
        <v>25</v>
      </c>
      <c r="N14" s="20" t="n">
        <v>22</v>
      </c>
      <c r="O14" s="40">
        <f>IF(B14="","",AVERAGE(C14:N14))</f>
        <v/>
      </c>
      <c r="P14" s="3" t="inlineStr">
        <is>
          <t>HE/PC</t>
        </is>
      </c>
    </row>
    <row r="15">
      <c r="B15" s="3" t="inlineStr">
        <is>
          <t>PC210F</t>
        </is>
      </c>
      <c r="C15" s="20" t="n">
        <v>0</v>
      </c>
      <c r="D15" s="20" t="n">
        <v>1</v>
      </c>
      <c r="E15" s="20" t="n">
        <v>0</v>
      </c>
      <c r="F15" s="20" t="n">
        <v>2</v>
      </c>
      <c r="G15" s="20" t="n">
        <v>2</v>
      </c>
      <c r="H15" s="20" t="n">
        <v>2</v>
      </c>
      <c r="I15" s="20" t="n">
        <v>2</v>
      </c>
      <c r="J15" s="20" t="n">
        <v>4</v>
      </c>
      <c r="K15" s="20" t="n">
        <v>5</v>
      </c>
      <c r="L15" s="20" t="n">
        <v>6</v>
      </c>
      <c r="M15" s="20" t="n">
        <v>6</v>
      </c>
      <c r="N15" s="20" t="n">
        <v>0</v>
      </c>
      <c r="O15" s="40">
        <f>IF(B15="","",AVERAGE(C15:N15))</f>
        <v/>
      </c>
      <c r="P15" s="3" t="inlineStr">
        <is>
          <t>HE/PC</t>
        </is>
      </c>
    </row>
    <row r="16">
      <c r="B16" s="3" t="inlineStr">
        <is>
          <t>PC220F</t>
        </is>
      </c>
      <c r="C16" s="20" t="n">
        <v>2</v>
      </c>
      <c r="D16" s="20" t="n">
        <v>1</v>
      </c>
      <c r="E16" s="20" t="n">
        <v>9</v>
      </c>
      <c r="F16" s="20" t="n">
        <v>14</v>
      </c>
      <c r="G16" s="20" t="n">
        <v>11</v>
      </c>
      <c r="H16" s="20" t="n">
        <v>11</v>
      </c>
      <c r="I16" s="20" t="n">
        <v>11</v>
      </c>
      <c r="J16" s="20" t="n">
        <v>15</v>
      </c>
      <c r="K16" s="20" t="n">
        <v>15</v>
      </c>
      <c r="L16" s="20" t="n">
        <v>13</v>
      </c>
      <c r="M16" s="20" t="n">
        <v>20</v>
      </c>
      <c r="N16" s="20" t="n">
        <v>15</v>
      </c>
      <c r="O16" s="40">
        <f>IF(B16="","",AVERAGE(C16:N16))</f>
        <v/>
      </c>
      <c r="P16" s="3" t="inlineStr">
        <is>
          <t>HE/PC</t>
        </is>
      </c>
    </row>
    <row r="17">
      <c r="B17" s="3" t="inlineStr">
        <is>
          <t>PC210</t>
        </is>
      </c>
      <c r="C17" s="20" t="n">
        <v>31</v>
      </c>
      <c r="D17" s="20" t="n">
        <v>38</v>
      </c>
      <c r="E17" s="20" t="n">
        <v>28</v>
      </c>
      <c r="F17" s="20" t="n">
        <v>31</v>
      </c>
      <c r="G17" s="20" t="n">
        <v>32</v>
      </c>
      <c r="H17" s="20" t="n">
        <v>33</v>
      </c>
      <c r="I17" s="20" t="n">
        <v>32</v>
      </c>
      <c r="J17" s="20" t="n">
        <v>27</v>
      </c>
      <c r="K17" s="20" t="n">
        <v>28</v>
      </c>
      <c r="L17" s="20" t="n">
        <v>16</v>
      </c>
      <c r="M17" s="20" t="n">
        <v>32</v>
      </c>
      <c r="N17" s="20" t="n">
        <v>34</v>
      </c>
      <c r="O17" s="40">
        <f>IF(B17="","",AVERAGE(C17:N17))</f>
        <v/>
      </c>
      <c r="P17" s="3" t="inlineStr">
        <is>
          <t>HE/PC</t>
        </is>
      </c>
    </row>
    <row r="18">
      <c r="B18" s="3" t="inlineStr">
        <is>
          <t>PC210LC</t>
        </is>
      </c>
      <c r="C18" s="20" t="n">
        <v>21</v>
      </c>
      <c r="D18" s="20" t="n">
        <v>17</v>
      </c>
      <c r="E18" s="20" t="n">
        <v>18</v>
      </c>
      <c r="F18" s="20" t="n">
        <v>15</v>
      </c>
      <c r="G18" s="20" t="n">
        <v>18</v>
      </c>
      <c r="H18" s="20" t="n">
        <v>13</v>
      </c>
      <c r="I18" s="20" t="n">
        <v>16</v>
      </c>
      <c r="J18" s="20" t="n">
        <v>16</v>
      </c>
      <c r="K18" s="20" t="n">
        <v>12</v>
      </c>
      <c r="L18" s="20" t="n">
        <v>14</v>
      </c>
      <c r="M18" s="20" t="n">
        <v>15</v>
      </c>
      <c r="N18" s="20" t="n">
        <v>16</v>
      </c>
      <c r="O18" s="40">
        <f>IF(B18="","",AVERAGE(C18:N18))</f>
        <v/>
      </c>
      <c r="P18" s="3" t="inlineStr">
        <is>
          <t>HE/PC</t>
        </is>
      </c>
    </row>
    <row r="19">
      <c r="B19" s="3" t="inlineStr">
        <is>
          <t>PC240</t>
        </is>
      </c>
      <c r="C19" s="20" t="n">
        <v>3</v>
      </c>
      <c r="D19" s="20" t="n">
        <v>6</v>
      </c>
      <c r="E19" s="20" t="n">
        <v>5</v>
      </c>
      <c r="F19" s="20" t="n">
        <v>8</v>
      </c>
      <c r="G19" s="20" t="n">
        <v>8</v>
      </c>
      <c r="H19" s="20" t="n">
        <v>10</v>
      </c>
      <c r="I19" s="20" t="n">
        <v>8</v>
      </c>
      <c r="J19" s="20" t="n">
        <v>3</v>
      </c>
      <c r="K19" s="20" t="n">
        <v>14</v>
      </c>
      <c r="L19" s="20" t="n">
        <v>13</v>
      </c>
      <c r="M19" s="20" t="n">
        <v>14</v>
      </c>
      <c r="N19" s="20" t="n">
        <v>13</v>
      </c>
      <c r="O19" s="40">
        <f>IF(B19="","",AVERAGE(C19:N19))</f>
        <v/>
      </c>
      <c r="P19" s="3" t="inlineStr">
        <is>
          <t>HE/PC</t>
        </is>
      </c>
    </row>
    <row r="20">
      <c r="B20" s="3" t="inlineStr">
        <is>
          <t>PC360</t>
        </is>
      </c>
      <c r="C20" s="20" t="n">
        <v>8</v>
      </c>
      <c r="D20" s="20" t="n">
        <v>21</v>
      </c>
      <c r="E20" s="20" t="n">
        <v>11</v>
      </c>
      <c r="F20" s="20" t="n">
        <v>14</v>
      </c>
      <c r="G20" s="20" t="n">
        <v>15</v>
      </c>
      <c r="H20" s="20" t="n">
        <v>12</v>
      </c>
      <c r="I20" s="20" t="n">
        <v>15</v>
      </c>
      <c r="J20" s="20" t="n">
        <v>14</v>
      </c>
      <c r="K20" s="20" t="n">
        <v>15</v>
      </c>
      <c r="L20" s="20" t="n">
        <v>11</v>
      </c>
      <c r="M20" s="20" t="n">
        <v>17</v>
      </c>
      <c r="N20" s="20" t="n">
        <v>17</v>
      </c>
      <c r="O20" s="40">
        <f>IF(B20="","",AVERAGE(C20:N20))</f>
        <v/>
      </c>
      <c r="P20" s="3" t="inlineStr">
        <is>
          <t>HE/PC</t>
        </is>
      </c>
    </row>
    <row r="21">
      <c r="B21" s="3" t="inlineStr">
        <is>
          <t>WA200</t>
        </is>
      </c>
      <c r="C21" s="20" t="n">
        <v>22</v>
      </c>
      <c r="D21" s="20" t="n">
        <v>33</v>
      </c>
      <c r="E21" s="20" t="n">
        <v>25</v>
      </c>
      <c r="F21" s="20" t="n">
        <v>12</v>
      </c>
      <c r="G21" s="20" t="n">
        <v>21</v>
      </c>
      <c r="H21" s="20" t="n">
        <v>14</v>
      </c>
      <c r="I21" s="20" t="n">
        <v>22</v>
      </c>
      <c r="J21" s="20" t="n">
        <v>20</v>
      </c>
      <c r="K21" s="20" t="n">
        <v>24</v>
      </c>
      <c r="L21" s="20" t="n">
        <v>11</v>
      </c>
      <c r="M21" s="20" t="n">
        <v>25</v>
      </c>
      <c r="N21" s="20" t="n">
        <v>26</v>
      </c>
      <c r="O21" s="40">
        <f>IF(B21="","",AVERAGE(C21:N21))</f>
        <v/>
      </c>
      <c r="P21" s="3" t="inlineStr">
        <is>
          <t>WL/WA</t>
        </is>
      </c>
    </row>
    <row r="22">
      <c r="B22" s="3" t="inlineStr">
        <is>
          <t>WA320</t>
        </is>
      </c>
      <c r="C22" s="20" t="n">
        <v>5</v>
      </c>
      <c r="D22" s="20" t="n">
        <v>9</v>
      </c>
      <c r="E22" s="20" t="n">
        <v>5</v>
      </c>
      <c r="F22" s="20" t="n">
        <v>5</v>
      </c>
      <c r="G22" s="20" t="n">
        <v>4</v>
      </c>
      <c r="H22" s="20" t="n">
        <v>4</v>
      </c>
      <c r="I22" s="20" t="n">
        <v>15</v>
      </c>
      <c r="J22" s="20" t="n">
        <v>9</v>
      </c>
      <c r="K22" s="20" t="n">
        <v>9</v>
      </c>
      <c r="L22" s="20" t="n">
        <v>6</v>
      </c>
      <c r="M22" s="20" t="n">
        <v>11</v>
      </c>
      <c r="N22" s="20" t="n">
        <v>13</v>
      </c>
      <c r="O22" s="40">
        <f>IF(B22="","",AVERAGE(C22:N22))</f>
        <v/>
      </c>
      <c r="P22" s="3" t="inlineStr">
        <is>
          <t>WL/WA</t>
        </is>
      </c>
    </row>
    <row r="23">
      <c r="B23" s="3" t="inlineStr">
        <is>
          <t>WA380</t>
        </is>
      </c>
      <c r="C23" s="20" t="n">
        <v>3</v>
      </c>
      <c r="D23" s="20" t="n">
        <v>8</v>
      </c>
      <c r="E23" s="20" t="n">
        <v>6</v>
      </c>
      <c r="F23" s="20" t="n">
        <v>8</v>
      </c>
      <c r="G23" s="20" t="n">
        <v>6</v>
      </c>
      <c r="H23" s="20" t="n">
        <v>3</v>
      </c>
      <c r="I23" s="20" t="n">
        <v>8</v>
      </c>
      <c r="J23" s="20" t="n">
        <v>6</v>
      </c>
      <c r="K23" s="20" t="n">
        <v>6</v>
      </c>
      <c r="L23" s="20" t="n">
        <v>4</v>
      </c>
      <c r="M23" s="20" t="n">
        <v>6</v>
      </c>
      <c r="N23" s="20" t="n">
        <v>5</v>
      </c>
      <c r="O23" s="40">
        <f>IF(B23="","",AVERAGE(C23:N23))</f>
        <v/>
      </c>
      <c r="P23" s="3" t="inlineStr">
        <is>
          <t>WL/WA</t>
        </is>
      </c>
    </row>
    <row r="24">
      <c r="B24" s="3" t="inlineStr">
        <is>
          <t>WA150</t>
        </is>
      </c>
      <c r="C24" s="20" t="n">
        <v>0</v>
      </c>
      <c r="D24" s="20" t="n">
        <v>0</v>
      </c>
      <c r="E24" s="20" t="n">
        <v>0</v>
      </c>
      <c r="F24" s="20" t="n">
        <v>1</v>
      </c>
      <c r="G24" s="20" t="n">
        <v>0</v>
      </c>
      <c r="H24" s="20" t="n">
        <v>6</v>
      </c>
      <c r="I24" s="20" t="n">
        <v>8</v>
      </c>
      <c r="J24" s="20" t="n">
        <v>11</v>
      </c>
      <c r="K24" s="20" t="n">
        <v>10</v>
      </c>
      <c r="L24" s="20" t="n">
        <v>9</v>
      </c>
      <c r="M24" s="20" t="n">
        <v>13</v>
      </c>
      <c r="N24" s="20" t="n">
        <v>15</v>
      </c>
      <c r="O24" s="40">
        <f>IF(B24="","",AVERAGE(C24:N24))</f>
        <v/>
      </c>
      <c r="P24" s="3" t="inlineStr">
        <is>
          <t>WL/WA</t>
        </is>
      </c>
    </row>
    <row r="25">
      <c r="B25" s="3" t="inlineStr">
        <is>
          <t>PC500</t>
        </is>
      </c>
      <c r="C25" s="20" t="n">
        <v>5</v>
      </c>
      <c r="D25" s="20" t="n">
        <v>6</v>
      </c>
      <c r="E25" s="20" t="n">
        <v>9</v>
      </c>
      <c r="F25" s="20" t="n">
        <v>8</v>
      </c>
      <c r="G25" s="20" t="n">
        <v>6</v>
      </c>
      <c r="H25" s="20" t="n">
        <v>8</v>
      </c>
      <c r="I25" s="20" t="n">
        <v>9</v>
      </c>
      <c r="J25" s="20" t="n">
        <v>8</v>
      </c>
      <c r="K25" s="20" t="n">
        <v>8</v>
      </c>
      <c r="L25" s="20" t="n">
        <v>5</v>
      </c>
      <c r="M25" s="20" t="n">
        <v>7</v>
      </c>
      <c r="N25" s="20" t="n">
        <v>11</v>
      </c>
      <c r="O25" s="40">
        <f>IF(B25="","",AVERAGE(C25:N25))</f>
        <v/>
      </c>
      <c r="P25" s="3" t="inlineStr">
        <is>
          <t>HE/PC</t>
        </is>
      </c>
    </row>
    <row r="26">
      <c r="B26" s="3" t="inlineStr">
        <is>
          <t>GD535-5</t>
        </is>
      </c>
      <c r="C26" s="20" t="n">
        <v>1</v>
      </c>
      <c r="D26" s="20" t="n">
        <v>1</v>
      </c>
      <c r="E26" s="20" t="n">
        <v>1</v>
      </c>
      <c r="F26" s="20" t="n">
        <v>0</v>
      </c>
      <c r="G26" s="20" t="n">
        <v>0</v>
      </c>
      <c r="H26" s="20" t="n">
        <v>0</v>
      </c>
      <c r="I26" s="20" t="n">
        <v>2</v>
      </c>
      <c r="J26" s="20" t="n">
        <v>1</v>
      </c>
      <c r="K26" s="20" t="n">
        <v>1</v>
      </c>
      <c r="L26" s="20" t="n">
        <v>1</v>
      </c>
      <c r="M26" s="20" t="n">
        <v>1</v>
      </c>
      <c r="N26" s="20" t="n">
        <v>0</v>
      </c>
      <c r="O26" s="40">
        <f>IF(B26="","",AVERAGE(C26:N26))</f>
        <v/>
      </c>
      <c r="P26" s="3" t="inlineStr">
        <is>
          <t>MG</t>
        </is>
      </c>
    </row>
    <row r="27">
      <c r="B27" s="3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40">
        <f>IF(B27="","",AVERAGE(C27:N27))</f>
        <v/>
      </c>
      <c r="P27" s="3" t="n"/>
    </row>
    <row r="28">
      <c r="B28" s="3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40">
        <f>IF(B28="","",AVERAGE(C28:N28))</f>
        <v/>
      </c>
      <c r="P28" s="3" t="n"/>
    </row>
    <row r="29">
      <c r="B29" s="3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40">
        <f>IF(B29="","",AVERAGE(C29:N29))</f>
        <v/>
      </c>
      <c r="P29" s="3" t="n"/>
    </row>
    <row r="30">
      <c r="B30" s="3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40">
        <f>IF(B30="","",AVERAGE(C30:N30))</f>
        <v/>
      </c>
      <c r="P30" s="3" t="n"/>
    </row>
    <row r="31">
      <c r="B31" s="3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40">
        <f>IF(B31="","",AVERAGE(C31:N31))</f>
        <v/>
      </c>
      <c r="P31" s="3" t="n"/>
    </row>
    <row r="32">
      <c r="B32" s="3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40">
        <f>IF(B32="","",AVERAGE(C32:N32))</f>
        <v/>
      </c>
      <c r="P32" s="3" t="n"/>
    </row>
    <row r="33">
      <c r="B33" s="3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40">
        <f>IF(B33="","",AVERAGE(C33:N33))</f>
        <v/>
      </c>
      <c r="P33" s="3" t="n"/>
    </row>
    <row r="34">
      <c r="B34" s="3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40">
        <f>IF(B34="","",AVERAGE(C34:N34))</f>
        <v/>
      </c>
      <c r="P34" s="3" t="n"/>
    </row>
    <row r="35">
      <c r="B35" s="3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40">
        <f>IF(B35="","",AVERAGE(C35:N35))</f>
        <v/>
      </c>
      <c r="P35" s="3" t="n"/>
    </row>
    <row r="36">
      <c r="B36" s="3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40">
        <f>IF(B36="","",AVERAGE(C36:N36))</f>
        <v/>
      </c>
      <c r="P36" s="3" t="n"/>
    </row>
    <row r="37">
      <c r="B37" s="3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40">
        <f>IF(B37="","",AVERAGE(C37:N37))</f>
        <v/>
      </c>
      <c r="P37" s="3" t="n"/>
    </row>
    <row r="38">
      <c r="B38" s="3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40">
        <f>IF(B38="","",AVERAGE(C38:N38))</f>
        <v/>
      </c>
      <c r="P38" s="3" t="n"/>
    </row>
    <row r="39">
      <c r="B39" s="3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40">
        <f>IF(B39="","",AVERAGE(C39:N39))</f>
        <v/>
      </c>
      <c r="P39" s="3" t="n"/>
    </row>
    <row r="40">
      <c r="B40" s="3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40">
        <f>IF(B40="","",AVERAGE(C40:N40))</f>
        <v/>
      </c>
      <c r="P40" s="3" t="n"/>
    </row>
    <row r="41">
      <c r="B41" s="31" t="inlineStr">
        <is>
          <t>TOTAL</t>
        </is>
      </c>
      <c r="C41" s="30">
        <f>SUM(C6:C40)</f>
        <v/>
      </c>
      <c r="D41" s="30">
        <f>SUM(D6:D40)</f>
        <v/>
      </c>
      <c r="E41" s="30">
        <f>SUM(E6:E40)</f>
        <v/>
      </c>
      <c r="F41" s="30">
        <f>SUM(F6:F40)</f>
        <v/>
      </c>
      <c r="G41" s="30">
        <f>SUM(G6:G40)</f>
        <v/>
      </c>
      <c r="H41" s="30">
        <f>SUM(H6:H40)</f>
        <v/>
      </c>
      <c r="I41" s="30">
        <f>SUM(I6:I40)</f>
        <v/>
      </c>
      <c r="J41" s="30">
        <f>SUM(J6:J40)</f>
        <v/>
      </c>
      <c r="K41" s="30">
        <f>SUM(K6:K40)</f>
        <v/>
      </c>
      <c r="L41" s="30">
        <f>SUM(L6:L40)</f>
        <v/>
      </c>
      <c r="M41" s="30">
        <f>SUM(M6:M40)</f>
        <v/>
      </c>
      <c r="N41" s="30">
        <f>SUM(N6:N40)</f>
        <v/>
      </c>
      <c r="O41" s="30">
        <f>SUM(O6:O40)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BF8F00"/>
    <outlinePr summaryBelow="1" summaryRight="1"/>
    <pageSetUpPr/>
  </sheetPr>
  <dimension ref="A1:Q2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14" customWidth="1" min="5" max="5"/>
    <col width="14" customWidth="1" min="6" max="6"/>
    <col width="11" customWidth="1" min="7" max="7"/>
    <col width="12" customWidth="1" min="8" max="8"/>
    <col width="12" customWidth="1" min="9" max="9"/>
    <col width="11" customWidth="1" min="10" max="10"/>
    <col width="9" customWidth="1" min="11" max="11"/>
    <col width="13" customWidth="1" min="12" max="12"/>
    <col width="30" customWidth="1" min="13" max="13"/>
    <col width="11" customWidth="1" min="14" max="14"/>
    <col width="10" customWidth="1" min="15" max="15"/>
    <col width="11" customWidth="1" min="16" max="16"/>
    <col width="12" customWidth="1" min="17" max="17"/>
  </cols>
  <sheetData>
    <row r="1">
      <c r="A1" s="1" t="inlineStr">
        <is>
          <t>BASE DE DADOS</t>
        </is>
      </c>
    </row>
    <row r="2">
      <c r="A2" s="4" t="inlineStr">
        <is>
          <t>Uma linha = peça × processo. Preencha só as colunas amarelas. Colunas cinza são calculadas. Use o filtro (setas) por família, modelo, célula ou máquina.</t>
        </is>
      </c>
    </row>
    <row r="5" ht="32" customHeight="1">
      <c r="A5" s="5" t="inlineStr">
        <is>
          <t>Família</t>
        </is>
      </c>
      <c r="B5" s="5" t="inlineStr">
        <is>
          <t>Modelo</t>
        </is>
      </c>
      <c r="C5" s="5" t="inlineStr">
        <is>
          <t>Peça</t>
        </is>
      </c>
      <c r="D5" s="5" t="inlineStr">
        <is>
          <t>Processo</t>
        </is>
      </c>
      <c r="E5" s="5" t="inlineStr">
        <is>
          <t>Célula</t>
        </is>
      </c>
      <c r="F5" s="5" t="inlineStr">
        <is>
          <t>Máquina usinagem</t>
        </is>
      </c>
      <c r="G5" s="5" t="inlineStr">
        <is>
          <t>Operadores (h-homem)</t>
        </is>
      </c>
      <c r="H5" s="5" t="inlineStr">
        <is>
          <t>Tempo padrão (min/pç)</t>
        </is>
      </c>
      <c r="I5" s="5" t="inlineStr">
        <is>
          <t>Tempo real (min/pç)</t>
        </is>
      </c>
      <c r="J5" s="5" t="inlineStr">
        <is>
          <t>Setup (min/lote)</t>
        </is>
      </c>
      <c r="K5" s="5" t="inlineStr">
        <is>
          <t>Lote (pç)</t>
        </is>
      </c>
      <c r="L5" s="5" t="inlineStr">
        <is>
          <t>Demanda do mês (pç) — vem de PLANO</t>
        </is>
      </c>
      <c r="M5" s="5" t="inlineStr">
        <is>
          <t>Observação / Pendência</t>
        </is>
      </c>
      <c r="N5" s="5" t="inlineStr">
        <is>
          <t>Tempo real efetivo</t>
        </is>
      </c>
      <c r="O5" s="5" t="inlineStr">
        <is>
          <t>Setup min/pç</t>
        </is>
      </c>
      <c r="P5" s="5" t="inlineStr">
        <is>
          <t>Operadores efetivo</t>
        </is>
      </c>
      <c r="Q5" s="5" t="inlineStr">
        <is>
          <t>Eficiência proc. (TP/TR)</t>
        </is>
      </c>
    </row>
    <row r="6">
      <c r="A6" s="3" t="inlineStr">
        <is>
          <t>CT</t>
        </is>
      </c>
      <c r="B6" s="3" t="inlineStr">
        <is>
          <t>D51-22</t>
        </is>
      </c>
      <c r="C6" s="3" t="inlineStr">
        <is>
          <t>S-CASE</t>
        </is>
      </c>
      <c r="D6" s="3" t="inlineStr">
        <is>
          <t>USINAGEM</t>
        </is>
      </c>
      <c r="E6" s="3" t="n"/>
      <c r="F6" s="3" t="inlineStr">
        <is>
          <t>UMC01</t>
        </is>
      </c>
      <c r="G6" s="3" t="n"/>
      <c r="H6" s="3" t="n">
        <v>58</v>
      </c>
      <c r="I6" s="3" t="n"/>
      <c r="J6" s="3" t="n"/>
      <c r="K6" s="3" t="n"/>
      <c r="L6" s="41">
        <f>IF(B6="",0,IFERROR(INDEX(PLANO!$C$6:$N$40,MATCH(B6,PLANO!$B$6:$B$40,0),MATCH(PARAMETROS!$C$3,PLANO!$C$4:$N$4,0)),0))</f>
        <v/>
      </c>
      <c r="M6" s="3" t="inlineStr">
        <is>
          <t>Setup, lote e tempo real: pendentes (não constam no arquivo)</t>
        </is>
      </c>
      <c r="N6" s="33">
        <f>IF(I6&gt;0,I6,H6)</f>
        <v/>
      </c>
      <c r="O6" s="42">
        <f>IF(K6&gt;0,J6/K6,0)</f>
        <v/>
      </c>
      <c r="P6" s="17">
        <f>IF(G6&gt;0,G6,1)</f>
        <v/>
      </c>
      <c r="Q6" s="43">
        <f>IF(AND(H6&gt;0,I6&gt;0),H6/I6,"")</f>
        <v/>
      </c>
    </row>
    <row r="7">
      <c r="A7" s="3" t="inlineStr">
        <is>
          <t>CT</t>
        </is>
      </c>
      <c r="B7" s="3" t="inlineStr">
        <is>
          <t>D51-24</t>
        </is>
      </c>
      <c r="C7" s="3" t="inlineStr">
        <is>
          <t>S-CASE</t>
        </is>
      </c>
      <c r="D7" s="3" t="inlineStr">
        <is>
          <t>USINAGEM</t>
        </is>
      </c>
      <c r="E7" s="3" t="n"/>
      <c r="F7" s="3" t="inlineStr">
        <is>
          <t>UMC01</t>
        </is>
      </c>
      <c r="G7" s="3" t="n"/>
      <c r="H7" s="3" t="n">
        <v>58</v>
      </c>
      <c r="I7" s="3" t="n"/>
      <c r="J7" s="3" t="n"/>
      <c r="K7" s="3" t="n"/>
      <c r="L7" s="41">
        <f>IF(B7="",0,IFERROR(INDEX(PLANO!$C$6:$N$40,MATCH(B7,PLANO!$B$6:$B$40,0),MATCH(PARAMETROS!$C$3,PLANO!$C$4:$N$4,0)),0))</f>
        <v/>
      </c>
      <c r="M7" s="3" t="inlineStr">
        <is>
          <t>Setup, lote e tempo real: pendentes (não constam no arquivo)</t>
        </is>
      </c>
      <c r="N7" s="33">
        <f>IF(I7&gt;0,I7,H7)</f>
        <v/>
      </c>
      <c r="O7" s="42">
        <f>IF(K7&gt;0,J7/K7,0)</f>
        <v/>
      </c>
      <c r="P7" s="17">
        <f>IF(G7&gt;0,G7,1)</f>
        <v/>
      </c>
      <c r="Q7" s="43">
        <f>IF(AND(H7&gt;0,I7&gt;0),H7/I7,"")</f>
        <v/>
      </c>
    </row>
    <row r="8">
      <c r="A8" s="3" t="inlineStr">
        <is>
          <t>CT</t>
        </is>
      </c>
      <c r="B8" s="3" t="inlineStr">
        <is>
          <t>D61-23</t>
        </is>
      </c>
      <c r="C8" s="3" t="inlineStr">
        <is>
          <t>S-CASE</t>
        </is>
      </c>
      <c r="D8" s="3" t="inlineStr">
        <is>
          <t>USINAGEM</t>
        </is>
      </c>
      <c r="E8" s="3" t="n"/>
      <c r="F8" s="3" t="inlineStr">
        <is>
          <t>UMC01</t>
        </is>
      </c>
      <c r="G8" s="3" t="n"/>
      <c r="H8" s="3" t="n">
        <v>54</v>
      </c>
      <c r="I8" s="3" t="n"/>
      <c r="J8" s="3" t="n"/>
      <c r="K8" s="3" t="n"/>
      <c r="L8" s="41">
        <f>IF(B8="",0,IFERROR(INDEX(PLANO!$C$6:$N$40,MATCH(B8,PLANO!$B$6:$B$40,0),MATCH(PARAMETROS!$C$3,PLANO!$C$4:$N$4,0)),0))</f>
        <v/>
      </c>
      <c r="M8" s="3" t="inlineStr">
        <is>
          <t>Setup, lote e tempo real: pendentes (não constam no arquivo)</t>
        </is>
      </c>
      <c r="N8" s="33">
        <f>IF(I8&gt;0,I8,H8)</f>
        <v/>
      </c>
      <c r="O8" s="42">
        <f>IF(K8&gt;0,J8/K8,0)</f>
        <v/>
      </c>
      <c r="P8" s="17">
        <f>IF(G8&gt;0,G8,1)</f>
        <v/>
      </c>
      <c r="Q8" s="43">
        <f>IF(AND(H8&gt;0,I8&gt;0),H8/I8,"")</f>
        <v/>
      </c>
    </row>
    <row r="9">
      <c r="A9" s="3" t="inlineStr">
        <is>
          <t>CT</t>
        </is>
      </c>
      <c r="B9" s="3" t="inlineStr">
        <is>
          <t>D61-24</t>
        </is>
      </c>
      <c r="C9" s="3" t="inlineStr">
        <is>
          <t>S-CASE</t>
        </is>
      </c>
      <c r="D9" s="3" t="inlineStr">
        <is>
          <t>USINAGEM</t>
        </is>
      </c>
      <c r="E9" s="3" t="n"/>
      <c r="F9" s="3" t="inlineStr">
        <is>
          <t>UMC01</t>
        </is>
      </c>
      <c r="G9" s="3" t="n"/>
      <c r="H9" s="3" t="n">
        <v>54</v>
      </c>
      <c r="I9" s="3" t="n"/>
      <c r="J9" s="3" t="n"/>
      <c r="K9" s="3" t="n"/>
      <c r="L9" s="41">
        <f>IF(B9="",0,IFERROR(INDEX(PLANO!$C$6:$N$40,MATCH(B9,PLANO!$B$6:$B$40,0),MATCH(PARAMETROS!$C$3,PLANO!$C$4:$N$4,0)),0))</f>
        <v/>
      </c>
      <c r="M9" s="3" t="inlineStr">
        <is>
          <t>Setup, lote e tempo real: pendentes (não constam no arquivo)</t>
        </is>
      </c>
      <c r="N9" s="33">
        <f>IF(I9&gt;0,I9,H9)</f>
        <v/>
      </c>
      <c r="O9" s="42">
        <f>IF(K9&gt;0,J9/K9,0)</f>
        <v/>
      </c>
      <c r="P9" s="17">
        <f>IF(G9&gt;0,G9,1)</f>
        <v/>
      </c>
      <c r="Q9" s="43">
        <f>IF(AND(H9&gt;0,I9&gt;0),H9/I9,"")</f>
        <v/>
      </c>
    </row>
    <row r="10">
      <c r="A10" s="3" t="inlineStr">
        <is>
          <t>WL/WA</t>
        </is>
      </c>
      <c r="B10" s="3" t="inlineStr">
        <is>
          <t>WA200</t>
        </is>
      </c>
      <c r="C10" s="3" t="inlineStr">
        <is>
          <t>HINGE CENTER</t>
        </is>
      </c>
      <c r="D10" s="3" t="inlineStr">
        <is>
          <t>USINAGEM</t>
        </is>
      </c>
      <c r="E10" s="3" t="n"/>
      <c r="F10" s="3" t="inlineStr">
        <is>
          <t>UMC01</t>
        </is>
      </c>
      <c r="G10" s="3" t="n"/>
      <c r="H10" s="3" t="n">
        <v>46.23</v>
      </c>
      <c r="I10" s="3" t="n"/>
      <c r="J10" s="3" t="n"/>
      <c r="K10" s="3" t="n"/>
      <c r="L10" s="41">
        <f>IF(B10="",0,IFERROR(INDEX(PLANO!$C$6:$N$40,MATCH(B10,PLANO!$B$6:$B$40,0),MATCH(PARAMETROS!$C$3,PLANO!$C$4:$N$4,0)),0))</f>
        <v/>
      </c>
      <c r="M10" s="3" t="inlineStr">
        <is>
          <t>Setup, lote e tempo real: pendentes (não constam no arquivo)</t>
        </is>
      </c>
      <c r="N10" s="33">
        <f>IF(I10&gt;0,I10,H10)</f>
        <v/>
      </c>
      <c r="O10" s="42">
        <f>IF(K10&gt;0,J10/K10,0)</f>
        <v/>
      </c>
      <c r="P10" s="17">
        <f>IF(G10&gt;0,G10,1)</f>
        <v/>
      </c>
      <c r="Q10" s="43">
        <f>IF(AND(H10&gt;0,I10&gt;0),H10/I10,"")</f>
        <v/>
      </c>
    </row>
    <row r="11">
      <c r="A11" s="3" t="inlineStr">
        <is>
          <t>WL/WA</t>
        </is>
      </c>
      <c r="B11" s="3" t="inlineStr">
        <is>
          <t>WA150</t>
        </is>
      </c>
      <c r="C11" s="3" t="inlineStr">
        <is>
          <t>HINGE CENTER</t>
        </is>
      </c>
      <c r="D11" s="3" t="inlineStr">
        <is>
          <t>USINAGEM</t>
        </is>
      </c>
      <c r="E11" s="3" t="n"/>
      <c r="F11" s="3" t="inlineStr">
        <is>
          <t>UMC01</t>
        </is>
      </c>
      <c r="G11" s="3" t="n"/>
      <c r="H11" s="3" t="n">
        <v>55</v>
      </c>
      <c r="I11" s="3" t="n"/>
      <c r="J11" s="3" t="n"/>
      <c r="K11" s="3" t="n"/>
      <c r="L11" s="41">
        <f>IF(B11="",0,IFERROR(INDEX(PLANO!$C$6:$N$40,MATCH(B11,PLANO!$B$6:$B$40,0),MATCH(PARAMETROS!$C$3,PLANO!$C$4:$N$4,0)),0))</f>
        <v/>
      </c>
      <c r="M11" s="3" t="inlineStr">
        <is>
          <t>Setup, lote e tempo real: pendentes (não constam no arquivo)</t>
        </is>
      </c>
      <c r="N11" s="33">
        <f>IF(I11&gt;0,I11,H11)</f>
        <v/>
      </c>
      <c r="O11" s="42">
        <f>IF(K11&gt;0,J11/K11,0)</f>
        <v/>
      </c>
      <c r="P11" s="17">
        <f>IF(G11&gt;0,G11,1)</f>
        <v/>
      </c>
      <c r="Q11" s="43">
        <f>IF(AND(H11&gt;0,I11&gt;0),H11/I11,"")</f>
        <v/>
      </c>
    </row>
    <row r="12">
      <c r="A12" s="3" t="inlineStr">
        <is>
          <t>WL/WA</t>
        </is>
      </c>
      <c r="B12" s="3" t="inlineStr">
        <is>
          <t>WA320</t>
        </is>
      </c>
      <c r="C12" s="3" t="inlineStr">
        <is>
          <t>HINGE CENTER</t>
        </is>
      </c>
      <c r="D12" s="3" t="inlineStr">
        <is>
          <t>USINAGEM</t>
        </is>
      </c>
      <c r="E12" s="3" t="n"/>
      <c r="F12" s="3" t="inlineStr">
        <is>
          <t>UMC01</t>
        </is>
      </c>
      <c r="G12" s="3" t="n"/>
      <c r="H12" s="3" t="n">
        <v>55</v>
      </c>
      <c r="I12" s="3" t="n"/>
      <c r="J12" s="3" t="n"/>
      <c r="K12" s="3" t="n"/>
      <c r="L12" s="41">
        <f>IF(B12="",0,IFERROR(INDEX(PLANO!$C$6:$N$40,MATCH(B12,PLANO!$B$6:$B$40,0),MATCH(PARAMETROS!$C$3,PLANO!$C$4:$N$4,0)),0))</f>
        <v/>
      </c>
      <c r="M12" s="3" t="inlineStr">
        <is>
          <t>Setup, lote e tempo real: pendentes (não constam no arquivo)</t>
        </is>
      </c>
      <c r="N12" s="33">
        <f>IF(I12&gt;0,I12,H12)</f>
        <v/>
      </c>
      <c r="O12" s="42">
        <f>IF(K12&gt;0,J12/K12,0)</f>
        <v/>
      </c>
      <c r="P12" s="17">
        <f>IF(G12&gt;0,G12,1)</f>
        <v/>
      </c>
      <c r="Q12" s="43">
        <f>IF(AND(H12&gt;0,I12&gt;0),H12/I12,"")</f>
        <v/>
      </c>
    </row>
    <row r="13">
      <c r="A13" s="3" t="inlineStr">
        <is>
          <t>WL/WA</t>
        </is>
      </c>
      <c r="B13" s="3" t="inlineStr">
        <is>
          <t>WA380</t>
        </is>
      </c>
      <c r="C13" s="3" t="inlineStr">
        <is>
          <t>HINGE CENTER</t>
        </is>
      </c>
      <c r="D13" s="3" t="inlineStr">
        <is>
          <t>USINAGEM</t>
        </is>
      </c>
      <c r="E13" s="3" t="n"/>
      <c r="F13" s="3" t="inlineStr">
        <is>
          <t>UMC01</t>
        </is>
      </c>
      <c r="G13" s="3" t="n"/>
      <c r="H13" s="3" t="n">
        <v>55</v>
      </c>
      <c r="I13" s="3" t="n"/>
      <c r="J13" s="3" t="n"/>
      <c r="K13" s="3" t="n"/>
      <c r="L13" s="41">
        <f>IF(B13="",0,IFERROR(INDEX(PLANO!$C$6:$N$40,MATCH(B13,PLANO!$B$6:$B$40,0),MATCH(PARAMETROS!$C$3,PLANO!$C$4:$N$4,0)),0))</f>
        <v/>
      </c>
      <c r="M13" s="3" t="inlineStr">
        <is>
          <t>Setup, lote e tempo real: pendentes (não constam no arquivo)</t>
        </is>
      </c>
      <c r="N13" s="33">
        <f>IF(I13&gt;0,I13,H13)</f>
        <v/>
      </c>
      <c r="O13" s="42">
        <f>IF(K13&gt;0,J13/K13,0)</f>
        <v/>
      </c>
      <c r="P13" s="17">
        <f>IF(G13&gt;0,G13,1)</f>
        <v/>
      </c>
      <c r="Q13" s="43">
        <f>IF(AND(H13&gt;0,I13&gt;0),H13/I13,"")</f>
        <v/>
      </c>
    </row>
    <row r="14">
      <c r="A14" s="3" t="inlineStr">
        <is>
          <t>HE/PC</t>
        </is>
      </c>
      <c r="B14" s="3" t="inlineStr">
        <is>
          <t>PC130</t>
        </is>
      </c>
      <c r="C14" s="3" t="inlineStr">
        <is>
          <t>MESA CENTRAL</t>
        </is>
      </c>
      <c r="D14" s="3" t="inlineStr">
        <is>
          <t>USINAGEM</t>
        </is>
      </c>
      <c r="E14" s="3" t="n"/>
      <c r="F14" s="3" t="inlineStr">
        <is>
          <t>UMC01</t>
        </is>
      </c>
      <c r="G14" s="3" t="n"/>
      <c r="H14" s="3" t="n">
        <v>100.2</v>
      </c>
      <c r="I14" s="3" t="n"/>
      <c r="J14" s="3" t="n"/>
      <c r="K14" s="3" t="n"/>
      <c r="L14" s="41">
        <f>IF(B14="",0,IFERROR(INDEX(PLANO!$C$6:$N$40,MATCH(B14,PLANO!$B$6:$B$40,0),MATCH(PARAMETROS!$C$3,PLANO!$C$4:$N$4,0)),0))</f>
        <v/>
      </c>
      <c r="M14" s="3" t="inlineStr">
        <is>
          <t>Setup, lote e tempo real: pendentes (não constam no arquivo)</t>
        </is>
      </c>
      <c r="N14" s="33">
        <f>IF(I14&gt;0,I14,H14)</f>
        <v/>
      </c>
      <c r="O14" s="42">
        <f>IF(K14&gt;0,J14/K14,0)</f>
        <v/>
      </c>
      <c r="P14" s="17">
        <f>IF(G14&gt;0,G14,1)</f>
        <v/>
      </c>
      <c r="Q14" s="43">
        <f>IF(AND(H14&gt;0,I14&gt;0),H14/I14,"")</f>
        <v/>
      </c>
    </row>
    <row r="15">
      <c r="A15" s="3" t="inlineStr">
        <is>
          <t>HE/PC</t>
        </is>
      </c>
      <c r="B15" s="3" t="inlineStr">
        <is>
          <t>PC200</t>
        </is>
      </c>
      <c r="C15" s="3" t="inlineStr">
        <is>
          <t>MESA CENTRAL</t>
        </is>
      </c>
      <c r="D15" s="3" t="inlineStr">
        <is>
          <t>USINAGEM</t>
        </is>
      </c>
      <c r="E15" s="3" t="n"/>
      <c r="F15" s="3" t="inlineStr">
        <is>
          <t>UMC01</t>
        </is>
      </c>
      <c r="G15" s="3" t="n"/>
      <c r="H15" s="3" t="n">
        <v>126</v>
      </c>
      <c r="I15" s="3" t="n"/>
      <c r="J15" s="3" t="n"/>
      <c r="K15" s="3" t="n"/>
      <c r="L15" s="41">
        <f>IF(B15="",0,IFERROR(INDEX(PLANO!$C$6:$N$40,MATCH(B15,PLANO!$B$6:$B$40,0),MATCH(PARAMETROS!$C$3,PLANO!$C$4:$N$4,0)),0))</f>
        <v/>
      </c>
      <c r="M15" s="3" t="inlineStr">
        <is>
          <t>Setup, lote e tempo real: pendentes (não constam no arquivo)</t>
        </is>
      </c>
      <c r="N15" s="33">
        <f>IF(I15&gt;0,I15,H15)</f>
        <v/>
      </c>
      <c r="O15" s="42">
        <f>IF(K15&gt;0,J15/K15,0)</f>
        <v/>
      </c>
      <c r="P15" s="17">
        <f>IF(G15&gt;0,G15,1)</f>
        <v/>
      </c>
      <c r="Q15" s="43">
        <f>IF(AND(H15&gt;0,I15&gt;0),H15/I15,"")</f>
        <v/>
      </c>
    </row>
    <row r="16">
      <c r="A16" s="3" t="inlineStr">
        <is>
          <t>HE/PC</t>
        </is>
      </c>
      <c r="B16" s="3" t="inlineStr">
        <is>
          <t>PC210LC</t>
        </is>
      </c>
      <c r="C16" s="3" t="inlineStr">
        <is>
          <t>MESA CENTRAL</t>
        </is>
      </c>
      <c r="D16" s="3" t="inlineStr">
        <is>
          <t>USINAGEM</t>
        </is>
      </c>
      <c r="E16" s="3" t="n"/>
      <c r="F16" s="3" t="inlineStr">
        <is>
          <t>UMC01</t>
        </is>
      </c>
      <c r="G16" s="3" t="n"/>
      <c r="H16" s="3" t="n">
        <v>126</v>
      </c>
      <c r="I16" s="3" t="n"/>
      <c r="J16" s="3" t="n"/>
      <c r="K16" s="3" t="n"/>
      <c r="L16" s="41">
        <f>IF(B16="",0,IFERROR(INDEX(PLANO!$C$6:$N$40,MATCH(B16,PLANO!$B$6:$B$40,0),MATCH(PARAMETROS!$C$3,PLANO!$C$4:$N$4,0)),0))</f>
        <v/>
      </c>
      <c r="M16" s="3" t="inlineStr">
        <is>
          <t>Setup, lote e tempo real: pendentes (não constam no arquivo)</t>
        </is>
      </c>
      <c r="N16" s="33">
        <f>IF(I16&gt;0,I16,H16)</f>
        <v/>
      </c>
      <c r="O16" s="42">
        <f>IF(K16&gt;0,J16/K16,0)</f>
        <v/>
      </c>
      <c r="P16" s="17">
        <f>IF(G16&gt;0,G16,1)</f>
        <v/>
      </c>
      <c r="Q16" s="43">
        <f>IF(AND(H16&gt;0,I16&gt;0),H16/I16,"")</f>
        <v/>
      </c>
    </row>
    <row r="17">
      <c r="A17" s="3" t="inlineStr">
        <is>
          <t>HE/PC</t>
        </is>
      </c>
      <c r="B17" s="3" t="inlineStr">
        <is>
          <t>PC210F</t>
        </is>
      </c>
      <c r="C17" s="3" t="inlineStr">
        <is>
          <t>MESA CENTRAL</t>
        </is>
      </c>
      <c r="D17" s="3" t="inlineStr">
        <is>
          <t>USINAGEM</t>
        </is>
      </c>
      <c r="E17" s="3" t="n"/>
      <c r="F17" s="3" t="inlineStr">
        <is>
          <t>UMC01</t>
        </is>
      </c>
      <c r="G17" s="3" t="n"/>
      <c r="H17" s="3" t="n">
        <v>126</v>
      </c>
      <c r="I17" s="3" t="n"/>
      <c r="J17" s="3" t="n"/>
      <c r="K17" s="3" t="n"/>
      <c r="L17" s="41">
        <f>IF(B17="",0,IFERROR(INDEX(PLANO!$C$6:$N$40,MATCH(B17,PLANO!$B$6:$B$40,0),MATCH(PARAMETROS!$C$3,PLANO!$C$4:$N$4,0)),0))</f>
        <v/>
      </c>
      <c r="M17" s="3" t="inlineStr">
        <is>
          <t>Setup, lote e tempo real: pendentes (não constam no arquivo)</t>
        </is>
      </c>
      <c r="N17" s="33">
        <f>IF(I17&gt;0,I17,H17)</f>
        <v/>
      </c>
      <c r="O17" s="42">
        <f>IF(K17&gt;0,J17/K17,0)</f>
        <v/>
      </c>
      <c r="P17" s="17">
        <f>IF(G17&gt;0,G17,1)</f>
        <v/>
      </c>
      <c r="Q17" s="43">
        <f>IF(AND(H17&gt;0,I17&gt;0),H17/I17,"")</f>
        <v/>
      </c>
    </row>
    <row r="18">
      <c r="A18" s="3" t="inlineStr">
        <is>
          <t>HE/PC</t>
        </is>
      </c>
      <c r="B18" s="3" t="inlineStr">
        <is>
          <t>PC220F</t>
        </is>
      </c>
      <c r="C18" s="3" t="inlineStr">
        <is>
          <t>MESA CENTRAL</t>
        </is>
      </c>
      <c r="D18" s="3" t="inlineStr">
        <is>
          <t>USINAGEM</t>
        </is>
      </c>
      <c r="E18" s="3" t="n"/>
      <c r="F18" s="3" t="inlineStr">
        <is>
          <t>UMC01</t>
        </is>
      </c>
      <c r="G18" s="3" t="n"/>
      <c r="H18" s="3" t="n">
        <v>126</v>
      </c>
      <c r="I18" s="3" t="n"/>
      <c r="J18" s="3" t="n"/>
      <c r="K18" s="3" t="n"/>
      <c r="L18" s="41">
        <f>IF(B18="",0,IFERROR(INDEX(PLANO!$C$6:$N$40,MATCH(B18,PLANO!$B$6:$B$40,0),MATCH(PARAMETROS!$C$3,PLANO!$C$4:$N$4,0)),0))</f>
        <v/>
      </c>
      <c r="M18" s="3" t="inlineStr">
        <is>
          <t>Setup, lote e tempo real: pendentes (não constam no arquivo)</t>
        </is>
      </c>
      <c r="N18" s="33">
        <f>IF(I18&gt;0,I18,H18)</f>
        <v/>
      </c>
      <c r="O18" s="42">
        <f>IF(K18&gt;0,J18/K18,0)</f>
        <v/>
      </c>
      <c r="P18" s="17">
        <f>IF(G18&gt;0,G18,1)</f>
        <v/>
      </c>
      <c r="Q18" s="43">
        <f>IF(AND(H18&gt;0,I18&gt;0),H18/I18,"")</f>
        <v/>
      </c>
    </row>
    <row r="19">
      <c r="A19" s="3" t="inlineStr">
        <is>
          <t>HE/PC</t>
        </is>
      </c>
      <c r="B19" s="3" t="inlineStr">
        <is>
          <t>PC240</t>
        </is>
      </c>
      <c r="C19" s="3" t="inlineStr">
        <is>
          <t>MESA CENTRAL</t>
        </is>
      </c>
      <c r="D19" s="3" t="inlineStr">
        <is>
          <t>USINAGEM</t>
        </is>
      </c>
      <c r="E19" s="3" t="n"/>
      <c r="F19" s="3" t="inlineStr">
        <is>
          <t>HMC-16</t>
        </is>
      </c>
      <c r="G19" s="3" t="n"/>
      <c r="H19" s="3" t="n">
        <v>126</v>
      </c>
      <c r="I19" s="3" t="n"/>
      <c r="J19" s="3" t="n"/>
      <c r="K19" s="3" t="n"/>
      <c r="L19" s="41">
        <f>IF(B19="",0,IFERROR(INDEX(PLANO!$C$6:$N$40,MATCH(B19,PLANO!$B$6:$B$40,0),MATCH(PARAMETROS!$C$3,PLANO!$C$4:$N$4,0)),0))</f>
        <v/>
      </c>
      <c r="M19" s="3" t="inlineStr">
        <is>
          <t>Setup, lote e tempo real: pendentes (não constam no arquivo)</t>
        </is>
      </c>
      <c r="N19" s="33">
        <f>IF(I19&gt;0,I19,H19)</f>
        <v/>
      </c>
      <c r="O19" s="42">
        <f>IF(K19&gt;0,J19/K19,0)</f>
        <v/>
      </c>
      <c r="P19" s="17">
        <f>IF(G19&gt;0,G19,1)</f>
        <v/>
      </c>
      <c r="Q19" s="43">
        <f>IF(AND(H19&gt;0,I19&gt;0),H19/I19,"")</f>
        <v/>
      </c>
    </row>
    <row r="20">
      <c r="A20" s="3" t="inlineStr">
        <is>
          <t>HE/PC</t>
        </is>
      </c>
      <c r="B20" s="3" t="inlineStr">
        <is>
          <t>PC360</t>
        </is>
      </c>
      <c r="C20" s="3" t="inlineStr">
        <is>
          <t>MESA CENTRAL</t>
        </is>
      </c>
      <c r="D20" s="3" t="inlineStr">
        <is>
          <t>USINAGEM</t>
        </is>
      </c>
      <c r="E20" s="3" t="n"/>
      <c r="F20" s="3" t="inlineStr">
        <is>
          <t>HMC-16</t>
        </is>
      </c>
      <c r="G20" s="3" t="n"/>
      <c r="H20" s="3" t="n">
        <v>189.6</v>
      </c>
      <c r="I20" s="3" t="n"/>
      <c r="J20" s="3" t="n"/>
      <c r="K20" s="3" t="n"/>
      <c r="L20" s="41">
        <f>IF(B20="",0,IFERROR(INDEX(PLANO!$C$6:$N$40,MATCH(B20,PLANO!$B$6:$B$40,0),MATCH(PARAMETROS!$C$3,PLANO!$C$4:$N$4,0)),0))</f>
        <v/>
      </c>
      <c r="M20" s="3" t="inlineStr">
        <is>
          <t>Setup, lote e tempo real: pendentes (não constam no arquivo)</t>
        </is>
      </c>
      <c r="N20" s="33">
        <f>IF(I20&gt;0,I20,H20)</f>
        <v/>
      </c>
      <c r="O20" s="42">
        <f>IF(K20&gt;0,J20/K20,0)</f>
        <v/>
      </c>
      <c r="P20" s="17">
        <f>IF(G20&gt;0,G20,1)</f>
        <v/>
      </c>
      <c r="Q20" s="43">
        <f>IF(AND(H20&gt;0,I20&gt;0),H20/I20,"")</f>
        <v/>
      </c>
    </row>
    <row r="21">
      <c r="A21" s="3" t="inlineStr">
        <is>
          <t>HE/PC</t>
        </is>
      </c>
      <c r="B21" s="3" t="inlineStr">
        <is>
          <t>PC500</t>
        </is>
      </c>
      <c r="C21" s="3" t="inlineStr">
        <is>
          <t>MESA CENTRAL</t>
        </is>
      </c>
      <c r="D21" s="3" t="inlineStr">
        <is>
          <t>USINAGEM</t>
        </is>
      </c>
      <c r="E21" s="3" t="n"/>
      <c r="F21" s="3" t="inlineStr">
        <is>
          <t>HMC-16</t>
        </is>
      </c>
      <c r="G21" s="3" t="n"/>
      <c r="H21" s="3" t="n">
        <v>350</v>
      </c>
      <c r="I21" s="3" t="n"/>
      <c r="J21" s="3" t="n"/>
      <c r="K21" s="3" t="n"/>
      <c r="L21" s="41">
        <f>IF(B21="",0,IFERROR(INDEX(PLANO!$C$6:$N$40,MATCH(B21,PLANO!$B$6:$B$40,0),MATCH(PARAMETROS!$C$3,PLANO!$C$4:$N$4,0)),0))</f>
        <v/>
      </c>
      <c r="M21" s="3" t="inlineStr">
        <is>
          <t>Setup, lote e tempo real: pendentes (não constam no arquivo)</t>
        </is>
      </c>
      <c r="N21" s="33">
        <f>IF(I21&gt;0,I21,H21)</f>
        <v/>
      </c>
      <c r="O21" s="42">
        <f>IF(K21&gt;0,J21/K21,0)</f>
        <v/>
      </c>
      <c r="P21" s="17">
        <f>IF(G21&gt;0,G21,1)</f>
        <v/>
      </c>
      <c r="Q21" s="43">
        <f>IF(AND(H21&gt;0,I21&gt;0),H21/I21,"")</f>
        <v/>
      </c>
    </row>
    <row r="22">
      <c r="A22" s="3" t="inlineStr">
        <is>
          <t>HE/PC</t>
        </is>
      </c>
      <c r="B22" s="3" t="inlineStr">
        <is>
          <t>PC210</t>
        </is>
      </c>
      <c r="C22" s="3" t="inlineStr">
        <is>
          <t>MESA CENTRAL</t>
        </is>
      </c>
      <c r="D22" s="3" t="inlineStr">
        <is>
          <t>USINAGEM</t>
        </is>
      </c>
      <c r="E22" s="3" t="n"/>
      <c r="F22" s="3" t="inlineStr">
        <is>
          <t>UMC01</t>
        </is>
      </c>
      <c r="G22" s="3" t="n"/>
      <c r="H22" s="3" t="n">
        <v>126</v>
      </c>
      <c r="I22" s="3" t="n"/>
      <c r="J22" s="3" t="n"/>
      <c r="K22" s="3" t="n"/>
      <c r="L22" s="41">
        <f>IF(B22="",0,IFERROR(INDEX(PLANO!$C$6:$N$40,MATCH(B22,PLANO!$B$6:$B$40,0),MATCH(PARAMETROS!$C$3,PLANO!$C$4:$N$4,0)),0))</f>
        <v/>
      </c>
      <c r="M22" s="3" t="inlineStr">
        <is>
          <t>Setup, lote e tempo real: pendentes (não constam no arquivo)</t>
        </is>
      </c>
      <c r="N22" s="33">
        <f>IF(I22&gt;0,I22,H22)</f>
        <v/>
      </c>
      <c r="O22" s="42">
        <f>IF(K22&gt;0,J22/K22,0)</f>
        <v/>
      </c>
      <c r="P22" s="17">
        <f>IF(G22&gt;0,G22,1)</f>
        <v/>
      </c>
      <c r="Q22" s="43">
        <f>IF(AND(H22&gt;0,I22&gt;0),H22/I22,"")</f>
        <v/>
      </c>
    </row>
    <row r="23">
      <c r="A23" s="3" t="inlineStr">
        <is>
          <t>HE/PC</t>
        </is>
      </c>
      <c r="B23" s="3" t="inlineStr">
        <is>
          <t>PC160</t>
        </is>
      </c>
      <c r="C23" s="3" t="inlineStr">
        <is>
          <t>MESA CENTRAL</t>
        </is>
      </c>
      <c r="D23" s="3" t="inlineStr">
        <is>
          <t>USINAGEM</t>
        </is>
      </c>
      <c r="E23" s="3" t="n"/>
      <c r="F23" s="3" t="inlineStr">
        <is>
          <t>UMC01</t>
        </is>
      </c>
      <c r="G23" s="3" t="n"/>
      <c r="H23" s="3" t="n">
        <v>106</v>
      </c>
      <c r="I23" s="3" t="n"/>
      <c r="J23" s="3" t="n"/>
      <c r="K23" s="3" t="n"/>
      <c r="L23" s="41">
        <f>IF(B23="",0,IFERROR(INDEX(PLANO!$C$6:$N$40,MATCH(B23,PLANO!$B$6:$B$40,0),MATCH(PARAMETROS!$C$3,PLANO!$C$4:$N$4,0)),0))</f>
        <v/>
      </c>
      <c r="M23" s="3" t="inlineStr">
        <is>
          <t>Setup, lote e tempo real: pendentes (não constam no arquivo)</t>
        </is>
      </c>
      <c r="N23" s="33">
        <f>IF(I23&gt;0,I23,H23)</f>
        <v/>
      </c>
      <c r="O23" s="42">
        <f>IF(K23&gt;0,J23/K23,0)</f>
        <v/>
      </c>
      <c r="P23" s="17">
        <f>IF(G23&gt;0,G23,1)</f>
        <v/>
      </c>
      <c r="Q23" s="43">
        <f>IF(AND(H23&gt;0,I23&gt;0),H23/I23,"")</f>
        <v/>
      </c>
    </row>
    <row r="24">
      <c r="A24" s="3" t="inlineStr">
        <is>
          <t>HE/PC</t>
        </is>
      </c>
      <c r="B24" s="3" t="inlineStr">
        <is>
          <t>PC210F</t>
        </is>
      </c>
      <c r="C24" s="3" t="inlineStr">
        <is>
          <t>PONTEIRA</t>
        </is>
      </c>
      <c r="D24" s="3" t="inlineStr">
        <is>
          <t>USINAGEM</t>
        </is>
      </c>
      <c r="E24" s="3" t="n"/>
      <c r="F24" s="3" t="inlineStr">
        <is>
          <t>UMC01</t>
        </is>
      </c>
      <c r="G24" s="3" t="n"/>
      <c r="H24" s="3" t="n">
        <v>45</v>
      </c>
      <c r="I24" s="3" t="n"/>
      <c r="J24" s="3" t="n"/>
      <c r="K24" s="3" t="n"/>
      <c r="L24" s="41">
        <f>IF(B24="",0,IFERROR(INDEX(PLANO!$C$6:$N$40,MATCH(B24,PLANO!$B$6:$B$40,0),MATCH(PARAMETROS!$C$3,PLANO!$C$4:$N$4,0)),0))</f>
        <v/>
      </c>
      <c r="M24" s="3" t="inlineStr">
        <is>
          <t>Setup, lote e tempo real: pendentes (não constam no arquivo)</t>
        </is>
      </c>
      <c r="N24" s="33">
        <f>IF(I24&gt;0,I24,H24)</f>
        <v/>
      </c>
      <c r="O24" s="42">
        <f>IF(K24&gt;0,J24/K24,0)</f>
        <v/>
      </c>
      <c r="P24" s="17">
        <f>IF(G24&gt;0,G24,1)</f>
        <v/>
      </c>
      <c r="Q24" s="43">
        <f>IF(AND(H24&gt;0,I24&gt;0),H24/I24,"")</f>
        <v/>
      </c>
    </row>
    <row r="25">
      <c r="A25" s="3" t="inlineStr">
        <is>
          <t>HE/PC</t>
        </is>
      </c>
      <c r="B25" s="3" t="inlineStr">
        <is>
          <t>PC220F</t>
        </is>
      </c>
      <c r="C25" s="3" t="inlineStr">
        <is>
          <t>PONTEIRA</t>
        </is>
      </c>
      <c r="D25" s="3" t="inlineStr">
        <is>
          <t>USINAGEM</t>
        </is>
      </c>
      <c r="E25" s="3" t="n"/>
      <c r="F25" s="3" t="inlineStr">
        <is>
          <t>UMC01</t>
        </is>
      </c>
      <c r="G25" s="3" t="n"/>
      <c r="H25" s="3" t="n">
        <v>45</v>
      </c>
      <c r="I25" s="3" t="n"/>
      <c r="J25" s="3" t="n"/>
      <c r="K25" s="3" t="n"/>
      <c r="L25" s="41">
        <f>IF(B25="",0,IFERROR(INDEX(PLANO!$C$6:$N$40,MATCH(B25,PLANO!$B$6:$B$40,0),MATCH(PARAMETROS!$C$3,PLANO!$C$4:$N$4,0)),0))</f>
        <v/>
      </c>
      <c r="M25" s="3" t="inlineStr">
        <is>
          <t>Setup, lote e tempo real: pendentes (não constam no arquivo)</t>
        </is>
      </c>
      <c r="N25" s="33">
        <f>IF(I25&gt;0,I25,H25)</f>
        <v/>
      </c>
      <c r="O25" s="42">
        <f>IF(K25&gt;0,J25/K25,0)</f>
        <v/>
      </c>
      <c r="P25" s="17">
        <f>IF(G25&gt;0,G25,1)</f>
        <v/>
      </c>
      <c r="Q25" s="43">
        <f>IF(AND(H25&gt;0,I25&gt;0),H25/I25,"")</f>
        <v/>
      </c>
    </row>
    <row r="26">
      <c r="A26" s="3" t="inlineStr">
        <is>
          <t>CT</t>
        </is>
      </c>
      <c r="B26" s="3" t="inlineStr">
        <is>
          <t>D51-22</t>
        </is>
      </c>
      <c r="C26" s="3" t="inlineStr">
        <is>
          <t>VIGA LH/RH</t>
        </is>
      </c>
      <c r="D26" s="3" t="inlineStr">
        <is>
          <t>USINAGEM</t>
        </is>
      </c>
      <c r="E26" s="3" t="n"/>
      <c r="F26" s="3" t="inlineStr">
        <is>
          <t>UMC02</t>
        </is>
      </c>
      <c r="G26" s="3" t="n"/>
      <c r="H26" s="3" t="n">
        <v>131</v>
      </c>
      <c r="I26" s="3" t="n"/>
      <c r="J26" s="3" t="n"/>
      <c r="K26" s="3" t="n"/>
      <c r="L26" s="41">
        <f>IF(B26="",0,IFERROR(INDEX(PLANO!$C$6:$N$40,MATCH(B26,PLANO!$B$6:$B$40,0),MATCH(PARAMETROS!$C$3,PLANO!$C$4:$N$4,0)),0))</f>
        <v/>
      </c>
      <c r="M26" s="3" t="inlineStr">
        <is>
          <t>Setup, lote e tempo real: pendentes (não constam no arquivo)</t>
        </is>
      </c>
      <c r="N26" s="33">
        <f>IF(I26&gt;0,I26,H26)</f>
        <v/>
      </c>
      <c r="O26" s="42">
        <f>IF(K26&gt;0,J26/K26,0)</f>
        <v/>
      </c>
      <c r="P26" s="17">
        <f>IF(G26&gt;0,G26,1)</f>
        <v/>
      </c>
      <c r="Q26" s="43">
        <f>IF(AND(H26&gt;0,I26&gt;0),H26/I26,"")</f>
        <v/>
      </c>
    </row>
    <row r="27">
      <c r="A27" s="3" t="inlineStr">
        <is>
          <t>CT</t>
        </is>
      </c>
      <c r="B27" s="3" t="inlineStr">
        <is>
          <t>D51-24</t>
        </is>
      </c>
      <c r="C27" s="3" t="inlineStr">
        <is>
          <t>VIGA LH/RH</t>
        </is>
      </c>
      <c r="D27" s="3" t="inlineStr">
        <is>
          <t>USINAGEM</t>
        </is>
      </c>
      <c r="E27" s="3" t="n"/>
      <c r="F27" s="3" t="inlineStr">
        <is>
          <t>UMC02</t>
        </is>
      </c>
      <c r="G27" s="3" t="n"/>
      <c r="H27" s="3" t="n">
        <v>142</v>
      </c>
      <c r="I27" s="3" t="n"/>
      <c r="J27" s="3" t="n"/>
      <c r="K27" s="3" t="n"/>
      <c r="L27" s="41">
        <f>IF(B27="",0,IFERROR(INDEX(PLANO!$C$6:$N$40,MATCH(B27,PLANO!$B$6:$B$40,0),MATCH(PARAMETROS!$C$3,PLANO!$C$4:$N$4,0)),0))</f>
        <v/>
      </c>
      <c r="M27" s="3" t="inlineStr">
        <is>
          <t>Setup, lote e tempo real: pendentes (não constam no arquivo)</t>
        </is>
      </c>
      <c r="N27" s="33">
        <f>IF(I27&gt;0,I27,H27)</f>
        <v/>
      </c>
      <c r="O27" s="42">
        <f>IF(K27&gt;0,J27/K27,0)</f>
        <v/>
      </c>
      <c r="P27" s="17">
        <f>IF(G27&gt;0,G27,1)</f>
        <v/>
      </c>
      <c r="Q27" s="43">
        <f>IF(AND(H27&gt;0,I27&gt;0),H27/I27,"")</f>
        <v/>
      </c>
    </row>
    <row r="28">
      <c r="A28" s="3" t="inlineStr">
        <is>
          <t>CT</t>
        </is>
      </c>
      <c r="B28" s="3" t="inlineStr">
        <is>
          <t>D61-23</t>
        </is>
      </c>
      <c r="C28" s="3" t="inlineStr">
        <is>
          <t>VIGA LH/RH</t>
        </is>
      </c>
      <c r="D28" s="3" t="inlineStr">
        <is>
          <t>USINAGEM</t>
        </is>
      </c>
      <c r="E28" s="3" t="n"/>
      <c r="F28" s="3" t="inlineStr">
        <is>
          <t>UMC02</t>
        </is>
      </c>
      <c r="G28" s="3" t="n"/>
      <c r="H28" s="3" t="n">
        <v>167</v>
      </c>
      <c r="I28" s="3" t="n"/>
      <c r="J28" s="3" t="n"/>
      <c r="K28" s="3" t="n"/>
      <c r="L28" s="41">
        <f>IF(B28="",0,IFERROR(INDEX(PLANO!$C$6:$N$40,MATCH(B28,PLANO!$B$6:$B$40,0),MATCH(PARAMETROS!$C$3,PLANO!$C$4:$N$4,0)),0))</f>
        <v/>
      </c>
      <c r="M28" s="3" t="inlineStr">
        <is>
          <t>Setup, lote e tempo real: pendentes (não constam no arquivo)</t>
        </is>
      </c>
      <c r="N28" s="33">
        <f>IF(I28&gt;0,I28,H28)</f>
        <v/>
      </c>
      <c r="O28" s="42">
        <f>IF(K28&gt;0,J28/K28,0)</f>
        <v/>
      </c>
      <c r="P28" s="17">
        <f>IF(G28&gt;0,G28,1)</f>
        <v/>
      </c>
      <c r="Q28" s="43">
        <f>IF(AND(H28&gt;0,I28&gt;0),H28/I28,"")</f>
        <v/>
      </c>
    </row>
    <row r="29">
      <c r="A29" s="3" t="inlineStr">
        <is>
          <t>CT</t>
        </is>
      </c>
      <c r="B29" s="3" t="inlineStr">
        <is>
          <t>D61-24</t>
        </is>
      </c>
      <c r="C29" s="3" t="inlineStr">
        <is>
          <t>VIGA LH/RH</t>
        </is>
      </c>
      <c r="D29" s="3" t="inlineStr">
        <is>
          <t>USINAGEM</t>
        </is>
      </c>
      <c r="E29" s="3" t="n"/>
      <c r="F29" s="3" t="inlineStr">
        <is>
          <t>UMC02</t>
        </is>
      </c>
      <c r="G29" s="3" t="n"/>
      <c r="H29" s="3" t="n">
        <v>167</v>
      </c>
      <c r="I29" s="3" t="n"/>
      <c r="J29" s="3" t="n"/>
      <c r="K29" s="3" t="n"/>
      <c r="L29" s="41">
        <f>IF(B29="",0,IFERROR(INDEX(PLANO!$C$6:$N$40,MATCH(B29,PLANO!$B$6:$B$40,0),MATCH(PARAMETROS!$C$3,PLANO!$C$4:$N$4,0)),0))</f>
        <v/>
      </c>
      <c r="M29" s="3" t="inlineStr">
        <is>
          <t>Setup, lote e tempo real: pendentes (não constam no arquivo)</t>
        </is>
      </c>
      <c r="N29" s="33">
        <f>IF(I29&gt;0,I29,H29)</f>
        <v/>
      </c>
      <c r="O29" s="42">
        <f>IF(K29&gt;0,J29/K29,0)</f>
        <v/>
      </c>
      <c r="P29" s="17">
        <f>IF(G29&gt;0,G29,1)</f>
        <v/>
      </c>
      <c r="Q29" s="43">
        <f>IF(AND(H29&gt;0,I29&gt;0),H29/I29,"")</f>
        <v/>
      </c>
    </row>
    <row r="30">
      <c r="A30" s="3" t="inlineStr">
        <is>
          <t>WL/WA</t>
        </is>
      </c>
      <c r="B30" s="3" t="inlineStr">
        <is>
          <t>WA200</t>
        </is>
      </c>
      <c r="C30" s="3" t="inlineStr">
        <is>
          <t>CHASSI TRASEIRO WA'S</t>
        </is>
      </c>
      <c r="D30" s="3" t="inlineStr">
        <is>
          <t>USINAGEM</t>
        </is>
      </c>
      <c r="E30" s="3" t="n"/>
      <c r="F30" s="3" t="inlineStr">
        <is>
          <t>HMC-16</t>
        </is>
      </c>
      <c r="G30" s="3" t="n"/>
      <c r="H30" s="3" t="n">
        <v>160</v>
      </c>
      <c r="I30" s="3" t="n"/>
      <c r="J30" s="3" t="n"/>
      <c r="K30" s="3" t="n"/>
      <c r="L30" s="41">
        <f>IF(B30="",0,IFERROR(INDEX(PLANO!$C$6:$N$40,MATCH(B30,PLANO!$B$6:$B$40,0),MATCH(PARAMETROS!$C$3,PLANO!$C$4:$N$4,0)),0))</f>
        <v/>
      </c>
      <c r="M30" s="3" t="inlineStr">
        <is>
          <t>Setup, lote e tempo real: pendentes (não constam no arquivo)</t>
        </is>
      </c>
      <c r="N30" s="33">
        <f>IF(I30&gt;0,I30,H30)</f>
        <v/>
      </c>
      <c r="O30" s="42">
        <f>IF(K30&gt;0,J30/K30,0)</f>
        <v/>
      </c>
      <c r="P30" s="17">
        <f>IF(G30&gt;0,G30,1)</f>
        <v/>
      </c>
      <c r="Q30" s="43">
        <f>IF(AND(H30&gt;0,I30&gt;0),H30/I30,"")</f>
        <v/>
      </c>
    </row>
    <row r="31">
      <c r="A31" s="3" t="inlineStr">
        <is>
          <t>WL/WA</t>
        </is>
      </c>
      <c r="B31" s="3" t="inlineStr">
        <is>
          <t>WA150</t>
        </is>
      </c>
      <c r="C31" s="3" t="inlineStr">
        <is>
          <t>CHASSI DIANTEIRO WA'S</t>
        </is>
      </c>
      <c r="D31" s="3" t="inlineStr">
        <is>
          <t>USINAGEM</t>
        </is>
      </c>
      <c r="E31" s="3" t="n"/>
      <c r="F31" s="3" t="inlineStr">
        <is>
          <t>HMC-16</t>
        </is>
      </c>
      <c r="G31" s="3" t="n"/>
      <c r="H31" s="3" t="n">
        <v>160</v>
      </c>
      <c r="I31" s="3" t="n"/>
      <c r="J31" s="3" t="n"/>
      <c r="K31" s="3" t="n"/>
      <c r="L31" s="41">
        <f>IF(B31="",0,IFERROR(INDEX(PLANO!$C$6:$N$40,MATCH(B31,PLANO!$B$6:$B$40,0),MATCH(PARAMETROS!$C$3,PLANO!$C$4:$N$4,0)),0))</f>
        <v/>
      </c>
      <c r="M31" s="3" t="inlineStr">
        <is>
          <t>Setup, lote e tempo real: pendentes (não constam no arquivo)</t>
        </is>
      </c>
      <c r="N31" s="33">
        <f>IF(I31&gt;0,I31,H31)</f>
        <v/>
      </c>
      <c r="O31" s="42">
        <f>IF(K31&gt;0,J31/K31,0)</f>
        <v/>
      </c>
      <c r="P31" s="17">
        <f>IF(G31&gt;0,G31,1)</f>
        <v/>
      </c>
      <c r="Q31" s="43">
        <f>IF(AND(H31&gt;0,I31&gt;0),H31/I31,"")</f>
        <v/>
      </c>
    </row>
    <row r="32">
      <c r="A32" s="3" t="inlineStr">
        <is>
          <t>WL/WA</t>
        </is>
      </c>
      <c r="B32" s="3" t="inlineStr">
        <is>
          <t>WA320</t>
        </is>
      </c>
      <c r="C32" s="3" t="inlineStr">
        <is>
          <t>CHASSI DIANTEIRO WA'S</t>
        </is>
      </c>
      <c r="D32" s="3" t="inlineStr">
        <is>
          <t>USINAGEM</t>
        </is>
      </c>
      <c r="E32" s="3" t="n"/>
      <c r="F32" s="3" t="inlineStr">
        <is>
          <t>HMC-16</t>
        </is>
      </c>
      <c r="G32" s="3" t="n"/>
      <c r="H32" s="3" t="n">
        <v>197.4</v>
      </c>
      <c r="I32" s="3" t="n"/>
      <c r="J32" s="3" t="n"/>
      <c r="K32" s="3" t="n"/>
      <c r="L32" s="41">
        <f>IF(B32="",0,IFERROR(INDEX(PLANO!$C$6:$N$40,MATCH(B32,PLANO!$B$6:$B$40,0),MATCH(PARAMETROS!$C$3,PLANO!$C$4:$N$4,0)),0))</f>
        <v/>
      </c>
      <c r="M32" s="3" t="inlineStr">
        <is>
          <t>Setup, lote e tempo real: pendentes (não constam no arquivo)</t>
        </is>
      </c>
      <c r="N32" s="33">
        <f>IF(I32&gt;0,I32,H32)</f>
        <v/>
      </c>
      <c r="O32" s="42">
        <f>IF(K32&gt;0,J32/K32,0)</f>
        <v/>
      </c>
      <c r="P32" s="17">
        <f>IF(G32&gt;0,G32,1)</f>
        <v/>
      </c>
      <c r="Q32" s="43">
        <f>IF(AND(H32&gt;0,I32&gt;0),H32/I32,"")</f>
        <v/>
      </c>
    </row>
    <row r="33">
      <c r="A33" s="3" t="inlineStr">
        <is>
          <t>WL/WA</t>
        </is>
      </c>
      <c r="B33" s="3" t="inlineStr">
        <is>
          <t>WA380</t>
        </is>
      </c>
      <c r="C33" s="3" t="inlineStr">
        <is>
          <t>CHASSI DIANTEIRO WA'S</t>
        </is>
      </c>
      <c r="D33" s="3" t="inlineStr">
        <is>
          <t>USINAGEM</t>
        </is>
      </c>
      <c r="E33" s="3" t="n"/>
      <c r="F33" s="3" t="inlineStr">
        <is>
          <t>HMC-16</t>
        </is>
      </c>
      <c r="G33" s="3" t="n"/>
      <c r="H33" s="3" t="n">
        <v>197.26</v>
      </c>
      <c r="I33" s="3" t="n"/>
      <c r="J33" s="3" t="n"/>
      <c r="K33" s="3" t="n"/>
      <c r="L33" s="41">
        <f>IF(B33="",0,IFERROR(INDEX(PLANO!$C$6:$N$40,MATCH(B33,PLANO!$B$6:$B$40,0),MATCH(PARAMETROS!$C$3,PLANO!$C$4:$N$4,0)),0))</f>
        <v/>
      </c>
      <c r="M33" s="3" t="inlineStr">
        <is>
          <t>Setup, lote e tempo real: pendentes (não constam no arquivo)</t>
        </is>
      </c>
      <c r="N33" s="33">
        <f>IF(I33&gt;0,I33,H33)</f>
        <v/>
      </c>
      <c r="O33" s="42">
        <f>IF(K33&gt;0,J33/K33,0)</f>
        <v/>
      </c>
      <c r="P33" s="17">
        <f>IF(G33&gt;0,G33,1)</f>
        <v/>
      </c>
      <c r="Q33" s="43">
        <f>IF(AND(H33&gt;0,I33&gt;0),H33/I33,"")</f>
        <v/>
      </c>
    </row>
    <row r="34">
      <c r="A34" s="3" t="inlineStr">
        <is>
          <t>WL/WA</t>
        </is>
      </c>
      <c r="B34" s="3" t="inlineStr">
        <is>
          <t>WA200</t>
        </is>
      </c>
      <c r="C34" s="3" t="inlineStr">
        <is>
          <t>LÂMINA GD</t>
        </is>
      </c>
      <c r="D34" s="3" t="inlineStr">
        <is>
          <t>USINAGEM</t>
        </is>
      </c>
      <c r="E34" s="3" t="n"/>
      <c r="F34" s="3" t="inlineStr">
        <is>
          <t>UMC02</t>
        </is>
      </c>
      <c r="G34" s="3" t="n"/>
      <c r="H34" s="3" t="n">
        <v>47</v>
      </c>
      <c r="I34" s="3" t="n"/>
      <c r="J34" s="3" t="n"/>
      <c r="K34" s="3" t="n"/>
      <c r="L34" s="41">
        <f>IF(B34="",0,IFERROR(INDEX(PLANO!$C$6:$N$40,MATCH(B34,PLANO!$B$6:$B$40,0),MATCH(PARAMETROS!$C$3,PLANO!$C$4:$N$4,0)),0))</f>
        <v/>
      </c>
      <c r="M34" s="3" t="inlineStr">
        <is>
          <t>Setup, lote e tempo real: pendentes (não constam no arquivo)</t>
        </is>
      </c>
      <c r="N34" s="33">
        <f>IF(I34&gt;0,I34,H34)</f>
        <v/>
      </c>
      <c r="O34" s="42">
        <f>IF(K34&gt;0,J34/K34,0)</f>
        <v/>
      </c>
      <c r="P34" s="17">
        <f>IF(G34&gt;0,G34,1)</f>
        <v/>
      </c>
      <c r="Q34" s="43">
        <f>IF(AND(H34&gt;0,I34&gt;0),H34/I34,"")</f>
        <v/>
      </c>
    </row>
    <row r="35">
      <c r="A35" s="3" t="inlineStr">
        <is>
          <t>WL/WA</t>
        </is>
      </c>
      <c r="B35" s="3" t="inlineStr">
        <is>
          <t>WA150</t>
        </is>
      </c>
      <c r="C35" s="3" t="inlineStr">
        <is>
          <t>BOOM WA</t>
        </is>
      </c>
      <c r="D35" s="3" t="inlineStr">
        <is>
          <t>USINAGEM</t>
        </is>
      </c>
      <c r="E35" s="3" t="n"/>
      <c r="F35" s="3" t="inlineStr">
        <is>
          <t>UMC02</t>
        </is>
      </c>
      <c r="G35" s="3" t="n"/>
      <c r="H35" s="3" t="n">
        <v>48</v>
      </c>
      <c r="I35" s="3" t="n"/>
      <c r="J35" s="3" t="n"/>
      <c r="K35" s="3" t="n"/>
      <c r="L35" s="41">
        <f>IF(B35="",0,IFERROR(INDEX(PLANO!$C$6:$N$40,MATCH(B35,PLANO!$B$6:$B$40,0),MATCH(PARAMETROS!$C$3,PLANO!$C$4:$N$4,0)),0))</f>
        <v/>
      </c>
      <c r="M35" s="3" t="inlineStr">
        <is>
          <t>Setup, lote e tempo real: pendentes (não constam no arquivo)</t>
        </is>
      </c>
      <c r="N35" s="33">
        <f>IF(I35&gt;0,I35,H35)</f>
        <v/>
      </c>
      <c r="O35" s="42">
        <f>IF(K35&gt;0,J35/K35,0)</f>
        <v/>
      </c>
      <c r="P35" s="17">
        <f>IF(G35&gt;0,G35,1)</f>
        <v/>
      </c>
      <c r="Q35" s="43">
        <f>IF(AND(H35&gt;0,I35&gt;0),H35/I35,"")</f>
        <v/>
      </c>
    </row>
    <row r="36">
      <c r="A36" s="3" t="inlineStr">
        <is>
          <t>WL/WA</t>
        </is>
      </c>
      <c r="B36" s="3" t="inlineStr">
        <is>
          <t>WA320</t>
        </is>
      </c>
      <c r="C36" s="3" t="inlineStr">
        <is>
          <t>BOOM WA</t>
        </is>
      </c>
      <c r="D36" s="3" t="inlineStr">
        <is>
          <t>USINAGEM</t>
        </is>
      </c>
      <c r="E36" s="3" t="n"/>
      <c r="F36" s="3" t="inlineStr">
        <is>
          <t>UMC02</t>
        </is>
      </c>
      <c r="G36" s="3" t="n"/>
      <c r="H36" s="3" t="n">
        <v>53</v>
      </c>
      <c r="I36" s="3" t="n"/>
      <c r="J36" s="3" t="n"/>
      <c r="K36" s="3" t="n"/>
      <c r="L36" s="41">
        <f>IF(B36="",0,IFERROR(INDEX(PLANO!$C$6:$N$40,MATCH(B36,PLANO!$B$6:$B$40,0),MATCH(PARAMETROS!$C$3,PLANO!$C$4:$N$4,0)),0))</f>
        <v/>
      </c>
      <c r="M36" s="3" t="inlineStr">
        <is>
          <t>Setup, lote e tempo real: pendentes (não constam no arquivo)</t>
        </is>
      </c>
      <c r="N36" s="33">
        <f>IF(I36&gt;0,I36,H36)</f>
        <v/>
      </c>
      <c r="O36" s="42">
        <f>IF(K36&gt;0,J36/K36,0)</f>
        <v/>
      </c>
      <c r="P36" s="17">
        <f>IF(G36&gt;0,G36,1)</f>
        <v/>
      </c>
      <c r="Q36" s="43">
        <f>IF(AND(H36&gt;0,I36&gt;0),H36/I36,"")</f>
        <v/>
      </c>
    </row>
    <row r="37">
      <c r="A37" s="3" t="inlineStr">
        <is>
          <t>WL/WA</t>
        </is>
      </c>
      <c r="B37" s="3" t="inlineStr">
        <is>
          <t>WA380</t>
        </is>
      </c>
      <c r="C37" s="3" t="inlineStr">
        <is>
          <t>BOOM WA</t>
        </is>
      </c>
      <c r="D37" s="3" t="inlineStr">
        <is>
          <t>USINAGEM</t>
        </is>
      </c>
      <c r="E37" s="3" t="n"/>
      <c r="F37" s="3" t="inlineStr">
        <is>
          <t>UMC02</t>
        </is>
      </c>
      <c r="G37" s="3" t="n"/>
      <c r="H37" s="3" t="n">
        <v>53</v>
      </c>
      <c r="I37" s="3" t="n"/>
      <c r="J37" s="3" t="n"/>
      <c r="K37" s="3" t="n"/>
      <c r="L37" s="41">
        <f>IF(B37="",0,IFERROR(INDEX(PLANO!$C$6:$N$40,MATCH(B37,PLANO!$B$6:$B$40,0),MATCH(PARAMETROS!$C$3,PLANO!$C$4:$N$4,0)),0))</f>
        <v/>
      </c>
      <c r="M37" s="3" t="inlineStr">
        <is>
          <t>Setup, lote e tempo real: pendentes (não constam no arquivo)</t>
        </is>
      </c>
      <c r="N37" s="33">
        <f>IF(I37&gt;0,I37,H37)</f>
        <v/>
      </c>
      <c r="O37" s="42">
        <f>IF(K37&gt;0,J37/K37,0)</f>
        <v/>
      </c>
      <c r="P37" s="17">
        <f>IF(G37&gt;0,G37,1)</f>
        <v/>
      </c>
      <c r="Q37" s="43">
        <f>IF(AND(H37&gt;0,I37&gt;0),H37/I37,"")</f>
        <v/>
      </c>
    </row>
    <row r="38">
      <c r="A38" s="3" t="inlineStr">
        <is>
          <t>HE/PC</t>
        </is>
      </c>
      <c r="B38" s="3" t="inlineStr">
        <is>
          <t>PC130</t>
        </is>
      </c>
      <c r="C38" s="3" t="inlineStr">
        <is>
          <t>BOOM WA</t>
        </is>
      </c>
      <c r="D38" s="3" t="inlineStr">
        <is>
          <t>USINAGEM</t>
        </is>
      </c>
      <c r="E38" s="3" t="n"/>
      <c r="F38" s="3" t="inlineStr">
        <is>
          <t>NCBZ</t>
        </is>
      </c>
      <c r="G38" s="3" t="n"/>
      <c r="H38" s="3" t="n">
        <v>47.851</v>
      </c>
      <c r="I38" s="3" t="n"/>
      <c r="J38" s="3" t="n"/>
      <c r="K38" s="3" t="n"/>
      <c r="L38" s="41">
        <f>IF(B38="",0,IFERROR(INDEX(PLANO!$C$6:$N$40,MATCH(B38,PLANO!$B$6:$B$40,0),MATCH(PARAMETROS!$C$3,PLANO!$C$4:$N$4,0)),0))</f>
        <v/>
      </c>
      <c r="M38" s="3" t="inlineStr">
        <is>
          <t>Setup, lote e tempo real: pendentes (não constam no arquivo)</t>
        </is>
      </c>
      <c r="N38" s="33">
        <f>IF(I38&gt;0,I38,H38)</f>
        <v/>
      </c>
      <c r="O38" s="42">
        <f>IF(K38&gt;0,J38/K38,0)</f>
        <v/>
      </c>
      <c r="P38" s="17">
        <f>IF(G38&gt;0,G38,1)</f>
        <v/>
      </c>
      <c r="Q38" s="43">
        <f>IF(AND(H38&gt;0,I38&gt;0),H38/I38,"")</f>
        <v/>
      </c>
    </row>
    <row r="39">
      <c r="A39" s="3" t="inlineStr">
        <is>
          <t>HE/PC</t>
        </is>
      </c>
      <c r="B39" s="3" t="inlineStr">
        <is>
          <t>PC200</t>
        </is>
      </c>
      <c r="C39" s="3" t="inlineStr">
        <is>
          <t>LANÇA PC</t>
        </is>
      </c>
      <c r="D39" s="3" t="inlineStr">
        <is>
          <t>USINAGEM</t>
        </is>
      </c>
      <c r="E39" s="3" t="n"/>
      <c r="F39" s="3" t="inlineStr">
        <is>
          <t>NCBZ</t>
        </is>
      </c>
      <c r="G39" s="3" t="n"/>
      <c r="H39" s="3" t="n">
        <v>47</v>
      </c>
      <c r="I39" s="3" t="n"/>
      <c r="J39" s="3" t="n"/>
      <c r="K39" s="3" t="n"/>
      <c r="L39" s="41">
        <f>IF(B39="",0,IFERROR(INDEX(PLANO!$C$6:$N$40,MATCH(B39,PLANO!$B$6:$B$40,0),MATCH(PARAMETROS!$C$3,PLANO!$C$4:$N$4,0)),0))</f>
        <v/>
      </c>
      <c r="M39" s="3" t="inlineStr">
        <is>
          <t>Setup, lote e tempo real: pendentes (não constam no arquivo)</t>
        </is>
      </c>
      <c r="N39" s="33">
        <f>IF(I39&gt;0,I39,H39)</f>
        <v/>
      </c>
      <c r="O39" s="42">
        <f>IF(K39&gt;0,J39/K39,0)</f>
        <v/>
      </c>
      <c r="P39" s="17">
        <f>IF(G39&gt;0,G39,1)</f>
        <v/>
      </c>
      <c r="Q39" s="43">
        <f>IF(AND(H39&gt;0,I39&gt;0),H39/I39,"")</f>
        <v/>
      </c>
    </row>
    <row r="40">
      <c r="A40" s="3" t="inlineStr">
        <is>
          <t>HE/PC</t>
        </is>
      </c>
      <c r="B40" s="3" t="inlineStr">
        <is>
          <t>PC210LC</t>
        </is>
      </c>
      <c r="C40" s="3" t="inlineStr">
        <is>
          <t>LANÇA PC</t>
        </is>
      </c>
      <c r="D40" s="3" t="inlineStr">
        <is>
          <t>USINAGEM</t>
        </is>
      </c>
      <c r="E40" s="3" t="n"/>
      <c r="F40" s="3" t="inlineStr">
        <is>
          <t>NCBZ</t>
        </is>
      </c>
      <c r="G40" s="3" t="n"/>
      <c r="H40" s="3" t="n">
        <v>47</v>
      </c>
      <c r="I40" s="3" t="n"/>
      <c r="J40" s="3" t="n"/>
      <c r="K40" s="3" t="n"/>
      <c r="L40" s="41">
        <f>IF(B40="",0,IFERROR(INDEX(PLANO!$C$6:$N$40,MATCH(B40,PLANO!$B$6:$B$40,0),MATCH(PARAMETROS!$C$3,PLANO!$C$4:$N$4,0)),0))</f>
        <v/>
      </c>
      <c r="M40" s="3" t="inlineStr">
        <is>
          <t>Setup, lote e tempo real: pendentes (não constam no arquivo)</t>
        </is>
      </c>
      <c r="N40" s="33">
        <f>IF(I40&gt;0,I40,H40)</f>
        <v/>
      </c>
      <c r="O40" s="42">
        <f>IF(K40&gt;0,J40/K40,0)</f>
        <v/>
      </c>
      <c r="P40" s="17">
        <f>IF(G40&gt;0,G40,1)</f>
        <v/>
      </c>
      <c r="Q40" s="43">
        <f>IF(AND(H40&gt;0,I40&gt;0),H40/I40,"")</f>
        <v/>
      </c>
    </row>
    <row r="41">
      <c r="A41" s="3" t="inlineStr">
        <is>
          <t>HE/PC</t>
        </is>
      </c>
      <c r="B41" s="3" t="inlineStr">
        <is>
          <t>PC210F</t>
        </is>
      </c>
      <c r="C41" s="3" t="inlineStr">
        <is>
          <t>LANÇA PC</t>
        </is>
      </c>
      <c r="D41" s="3" t="inlineStr">
        <is>
          <t>USINAGEM</t>
        </is>
      </c>
      <c r="E41" s="3" t="n"/>
      <c r="F41" s="3" t="inlineStr">
        <is>
          <t>NCBZ</t>
        </is>
      </c>
      <c r="G41" s="3" t="n"/>
      <c r="H41" s="3" t="n">
        <v>47</v>
      </c>
      <c r="I41" s="3" t="n"/>
      <c r="J41" s="3" t="n"/>
      <c r="K41" s="3" t="n"/>
      <c r="L41" s="41">
        <f>IF(B41="",0,IFERROR(INDEX(PLANO!$C$6:$N$40,MATCH(B41,PLANO!$B$6:$B$40,0),MATCH(PARAMETROS!$C$3,PLANO!$C$4:$N$4,0)),0))</f>
        <v/>
      </c>
      <c r="M41" s="3" t="inlineStr">
        <is>
          <t>Setup, lote e tempo real: pendentes (não constam no arquivo)</t>
        </is>
      </c>
      <c r="N41" s="33">
        <f>IF(I41&gt;0,I41,H41)</f>
        <v/>
      </c>
      <c r="O41" s="42">
        <f>IF(K41&gt;0,J41/K41,0)</f>
        <v/>
      </c>
      <c r="P41" s="17">
        <f>IF(G41&gt;0,G41,1)</f>
        <v/>
      </c>
      <c r="Q41" s="43">
        <f>IF(AND(H41&gt;0,I41&gt;0),H41/I41,"")</f>
        <v/>
      </c>
    </row>
    <row r="42">
      <c r="A42" s="3" t="inlineStr">
        <is>
          <t>HE/PC</t>
        </is>
      </c>
      <c r="B42" s="3" t="inlineStr">
        <is>
          <t>PC220F</t>
        </is>
      </c>
      <c r="C42" s="3" t="inlineStr">
        <is>
          <t>LANÇA PC</t>
        </is>
      </c>
      <c r="D42" s="3" t="inlineStr">
        <is>
          <t>USINAGEM</t>
        </is>
      </c>
      <c r="E42" s="3" t="n"/>
      <c r="F42" s="3" t="inlineStr">
        <is>
          <t>NCBZ</t>
        </is>
      </c>
      <c r="G42" s="3" t="n"/>
      <c r="H42" s="3" t="n">
        <v>47</v>
      </c>
      <c r="I42" s="3" t="n"/>
      <c r="J42" s="3" t="n"/>
      <c r="K42" s="3" t="n"/>
      <c r="L42" s="41">
        <f>IF(B42="",0,IFERROR(INDEX(PLANO!$C$6:$N$40,MATCH(B42,PLANO!$B$6:$B$40,0),MATCH(PARAMETROS!$C$3,PLANO!$C$4:$N$4,0)),0))</f>
        <v/>
      </c>
      <c r="M42" s="3" t="inlineStr">
        <is>
          <t>Setup, lote e tempo real: pendentes (não constam no arquivo)</t>
        </is>
      </c>
      <c r="N42" s="33">
        <f>IF(I42&gt;0,I42,H42)</f>
        <v/>
      </c>
      <c r="O42" s="42">
        <f>IF(K42&gt;0,J42/K42,0)</f>
        <v/>
      </c>
      <c r="P42" s="17">
        <f>IF(G42&gt;0,G42,1)</f>
        <v/>
      </c>
      <c r="Q42" s="43">
        <f>IF(AND(H42&gt;0,I42&gt;0),H42/I42,"")</f>
        <v/>
      </c>
    </row>
    <row r="43">
      <c r="A43" s="3" t="inlineStr">
        <is>
          <t>HE/PC</t>
        </is>
      </c>
      <c r="B43" s="3" t="inlineStr">
        <is>
          <t>PC240</t>
        </is>
      </c>
      <c r="C43" s="3" t="inlineStr">
        <is>
          <t>LANÇA PC</t>
        </is>
      </c>
      <c r="D43" s="3" t="inlineStr">
        <is>
          <t>USINAGEM</t>
        </is>
      </c>
      <c r="E43" s="3" t="n"/>
      <c r="F43" s="3" t="inlineStr">
        <is>
          <t>NCBZ</t>
        </is>
      </c>
      <c r="G43" s="3" t="n"/>
      <c r="H43" s="3" t="n">
        <v>53</v>
      </c>
      <c r="I43" s="3" t="n"/>
      <c r="J43" s="3" t="n"/>
      <c r="K43" s="3" t="n"/>
      <c r="L43" s="41">
        <f>IF(B43="",0,IFERROR(INDEX(PLANO!$C$6:$N$40,MATCH(B43,PLANO!$B$6:$B$40,0),MATCH(PARAMETROS!$C$3,PLANO!$C$4:$N$4,0)),0))</f>
        <v/>
      </c>
      <c r="M43" s="3" t="inlineStr">
        <is>
          <t>Setup, lote e tempo real: pendentes (não constam no arquivo)</t>
        </is>
      </c>
      <c r="N43" s="33">
        <f>IF(I43&gt;0,I43,H43)</f>
        <v/>
      </c>
      <c r="O43" s="42">
        <f>IF(K43&gt;0,J43/K43,0)</f>
        <v/>
      </c>
      <c r="P43" s="17">
        <f>IF(G43&gt;0,G43,1)</f>
        <v/>
      </c>
      <c r="Q43" s="43">
        <f>IF(AND(H43&gt;0,I43&gt;0),H43/I43,"")</f>
        <v/>
      </c>
    </row>
    <row r="44">
      <c r="A44" s="3" t="inlineStr">
        <is>
          <t>HE/PC</t>
        </is>
      </c>
      <c r="B44" s="3" t="inlineStr">
        <is>
          <t>PC360</t>
        </is>
      </c>
      <c r="C44" s="3" t="inlineStr">
        <is>
          <t>LANÇA PC</t>
        </is>
      </c>
      <c r="D44" s="3" t="inlineStr">
        <is>
          <t>USINAGEM</t>
        </is>
      </c>
      <c r="E44" s="3" t="n"/>
      <c r="F44" s="3" t="inlineStr">
        <is>
          <t>NCBZ</t>
        </is>
      </c>
      <c r="G44" s="3" t="n"/>
      <c r="H44" s="3" t="n">
        <v>54.6</v>
      </c>
      <c r="I44" s="3" t="n"/>
      <c r="J44" s="3" t="n"/>
      <c r="K44" s="3" t="n"/>
      <c r="L44" s="41">
        <f>IF(B44="",0,IFERROR(INDEX(PLANO!$C$6:$N$40,MATCH(B44,PLANO!$B$6:$B$40,0),MATCH(PARAMETROS!$C$3,PLANO!$C$4:$N$4,0)),0))</f>
        <v/>
      </c>
      <c r="M44" s="3" t="inlineStr">
        <is>
          <t>Setup, lote e tempo real: pendentes (não constam no arquivo)</t>
        </is>
      </c>
      <c r="N44" s="33">
        <f>IF(I44&gt;0,I44,H44)</f>
        <v/>
      </c>
      <c r="O44" s="42">
        <f>IF(K44&gt;0,J44/K44,0)</f>
        <v/>
      </c>
      <c r="P44" s="17">
        <f>IF(G44&gt;0,G44,1)</f>
        <v/>
      </c>
      <c r="Q44" s="43">
        <f>IF(AND(H44&gt;0,I44&gt;0),H44/I44,"")</f>
        <v/>
      </c>
    </row>
    <row r="45">
      <c r="A45" s="3" t="inlineStr">
        <is>
          <t>HE/PC</t>
        </is>
      </c>
      <c r="B45" s="3" t="inlineStr">
        <is>
          <t>PC500</t>
        </is>
      </c>
      <c r="C45" s="3" t="inlineStr">
        <is>
          <t>LANÇA PC</t>
        </is>
      </c>
      <c r="D45" s="3" t="inlineStr">
        <is>
          <t>USINAGEM</t>
        </is>
      </c>
      <c r="E45" s="3" t="n"/>
      <c r="F45" s="3" t="inlineStr">
        <is>
          <t>NCBZ</t>
        </is>
      </c>
      <c r="G45" s="3" t="n"/>
      <c r="H45" s="3" t="n">
        <v>55</v>
      </c>
      <c r="I45" s="3" t="n"/>
      <c r="J45" s="3" t="n"/>
      <c r="K45" s="3" t="n"/>
      <c r="L45" s="41">
        <f>IF(B45="",0,IFERROR(INDEX(PLANO!$C$6:$N$40,MATCH(B45,PLANO!$B$6:$B$40,0),MATCH(PARAMETROS!$C$3,PLANO!$C$4:$N$4,0)),0))</f>
        <v/>
      </c>
      <c r="M45" s="3" t="inlineStr">
        <is>
          <t>Setup, lote e tempo real: pendentes (não constam no arquivo)</t>
        </is>
      </c>
      <c r="N45" s="33">
        <f>IF(I45&gt;0,I45,H45)</f>
        <v/>
      </c>
      <c r="O45" s="42">
        <f>IF(K45&gt;0,J45/K45,0)</f>
        <v/>
      </c>
      <c r="P45" s="17">
        <f>IF(G45&gt;0,G45,1)</f>
        <v/>
      </c>
      <c r="Q45" s="43">
        <f>IF(AND(H45&gt;0,I45&gt;0),H45/I45,"")</f>
        <v/>
      </c>
    </row>
    <row r="46">
      <c r="A46" s="3" t="inlineStr">
        <is>
          <t>HE/PC</t>
        </is>
      </c>
      <c r="B46" s="3" t="inlineStr">
        <is>
          <t>PC210</t>
        </is>
      </c>
      <c r="C46" s="3" t="inlineStr">
        <is>
          <t>LANÇA PC</t>
        </is>
      </c>
      <c r="D46" s="3" t="inlineStr">
        <is>
          <t>USINAGEM</t>
        </is>
      </c>
      <c r="E46" s="3" t="n"/>
      <c r="F46" s="3" t="inlineStr">
        <is>
          <t>NCBZ</t>
        </is>
      </c>
      <c r="G46" s="3" t="n"/>
      <c r="H46" s="3" t="n">
        <v>47</v>
      </c>
      <c r="I46" s="3" t="n"/>
      <c r="J46" s="3" t="n"/>
      <c r="K46" s="3" t="n"/>
      <c r="L46" s="41">
        <f>IF(B46="",0,IFERROR(INDEX(PLANO!$C$6:$N$40,MATCH(B46,PLANO!$B$6:$B$40,0),MATCH(PARAMETROS!$C$3,PLANO!$C$4:$N$4,0)),0))</f>
        <v/>
      </c>
      <c r="M46" s="3" t="inlineStr">
        <is>
          <t>Setup, lote e tempo real: pendentes (não constam no arquivo)</t>
        </is>
      </c>
      <c r="N46" s="33">
        <f>IF(I46&gt;0,I46,H46)</f>
        <v/>
      </c>
      <c r="O46" s="42">
        <f>IF(K46&gt;0,J46/K46,0)</f>
        <v/>
      </c>
      <c r="P46" s="17">
        <f>IF(G46&gt;0,G46,1)</f>
        <v/>
      </c>
      <c r="Q46" s="43">
        <f>IF(AND(H46&gt;0,I46&gt;0),H46/I46,"")</f>
        <v/>
      </c>
    </row>
    <row r="47">
      <c r="A47" s="3" t="inlineStr">
        <is>
          <t>HE/PC</t>
        </is>
      </c>
      <c r="B47" s="3" t="inlineStr">
        <is>
          <t>PC160</t>
        </is>
      </c>
      <c r="C47" s="3" t="inlineStr">
        <is>
          <t>LANÇA PC</t>
        </is>
      </c>
      <c r="D47" s="3" t="inlineStr">
        <is>
          <t>USINAGEM</t>
        </is>
      </c>
      <c r="E47" s="3" t="n"/>
      <c r="F47" s="3" t="inlineStr">
        <is>
          <t>NCBZ</t>
        </is>
      </c>
      <c r="G47" s="3" t="n"/>
      <c r="H47" s="3" t="n">
        <v>40</v>
      </c>
      <c r="I47" s="3" t="n"/>
      <c r="J47" s="3" t="n"/>
      <c r="K47" s="3" t="n"/>
      <c r="L47" s="41">
        <f>IF(B47="",0,IFERROR(INDEX(PLANO!$C$6:$N$40,MATCH(B47,PLANO!$B$6:$B$40,0),MATCH(PARAMETROS!$C$3,PLANO!$C$4:$N$4,0)),0))</f>
        <v/>
      </c>
      <c r="M47" s="3" t="inlineStr">
        <is>
          <t>Setup, lote e tempo real: pendentes (não constam no arquivo)</t>
        </is>
      </c>
      <c r="N47" s="33">
        <f>IF(I47&gt;0,I47,H47)</f>
        <v/>
      </c>
      <c r="O47" s="42">
        <f>IF(K47&gt;0,J47/K47,0)</f>
        <v/>
      </c>
      <c r="P47" s="17">
        <f>IF(G47&gt;0,G47,1)</f>
        <v/>
      </c>
      <c r="Q47" s="43">
        <f>IF(AND(H47&gt;0,I47&gt;0),H47/I47,"")</f>
        <v/>
      </c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41">
        <f>IF(B48="",0,IFERROR(INDEX(PLANO!$C$6:$N$40,MATCH(B48,PLANO!$B$6:$B$40,0),MATCH(PARAMETROS!$C$3,PLANO!$C$4:$N$4,0)),0))</f>
        <v/>
      </c>
      <c r="M48" s="3" t="n"/>
      <c r="N48" s="33">
        <f>IF(I48&gt;0,I48,H48)</f>
        <v/>
      </c>
      <c r="O48" s="42">
        <f>IF(K48&gt;0,J48/K48,0)</f>
        <v/>
      </c>
      <c r="P48" s="17">
        <f>IF(G48&gt;0,G48,1)</f>
        <v/>
      </c>
      <c r="Q48" s="43">
        <f>IF(AND(H48&gt;0,I48&gt;0),H48/I48,"")</f>
        <v/>
      </c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41">
        <f>IF(B49="",0,IFERROR(INDEX(PLANO!$C$6:$N$40,MATCH(B49,PLANO!$B$6:$B$40,0),MATCH(PARAMETROS!$C$3,PLANO!$C$4:$N$4,0)),0))</f>
        <v/>
      </c>
      <c r="M49" s="3" t="n"/>
      <c r="N49" s="33">
        <f>IF(I49&gt;0,I49,H49)</f>
        <v/>
      </c>
      <c r="O49" s="42">
        <f>IF(K49&gt;0,J49/K49,0)</f>
        <v/>
      </c>
      <c r="P49" s="17">
        <f>IF(G49&gt;0,G49,1)</f>
        <v/>
      </c>
      <c r="Q49" s="43">
        <f>IF(AND(H49&gt;0,I49&gt;0),H49/I49,"")</f>
        <v/>
      </c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41">
        <f>IF(B50="",0,IFERROR(INDEX(PLANO!$C$6:$N$40,MATCH(B50,PLANO!$B$6:$B$40,0),MATCH(PARAMETROS!$C$3,PLANO!$C$4:$N$4,0)),0))</f>
        <v/>
      </c>
      <c r="M50" s="3" t="n"/>
      <c r="N50" s="33">
        <f>IF(I50&gt;0,I50,H50)</f>
        <v/>
      </c>
      <c r="O50" s="42">
        <f>IF(K50&gt;0,J50/K50,0)</f>
        <v/>
      </c>
      <c r="P50" s="17">
        <f>IF(G50&gt;0,G50,1)</f>
        <v/>
      </c>
      <c r="Q50" s="43">
        <f>IF(AND(H50&gt;0,I50&gt;0),H50/I50,"")</f>
        <v/>
      </c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41">
        <f>IF(B51="",0,IFERROR(INDEX(PLANO!$C$6:$N$40,MATCH(B51,PLANO!$B$6:$B$40,0),MATCH(PARAMETROS!$C$3,PLANO!$C$4:$N$4,0)),0))</f>
        <v/>
      </c>
      <c r="M51" s="3" t="n"/>
      <c r="N51" s="33">
        <f>IF(I51&gt;0,I51,H51)</f>
        <v/>
      </c>
      <c r="O51" s="42">
        <f>IF(K51&gt;0,J51/K51,0)</f>
        <v/>
      </c>
      <c r="P51" s="17">
        <f>IF(G51&gt;0,G51,1)</f>
        <v/>
      </c>
      <c r="Q51" s="43">
        <f>IF(AND(H51&gt;0,I51&gt;0),H51/I51,"")</f>
        <v/>
      </c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41">
        <f>IF(B52="",0,IFERROR(INDEX(PLANO!$C$6:$N$40,MATCH(B52,PLANO!$B$6:$B$40,0),MATCH(PARAMETROS!$C$3,PLANO!$C$4:$N$4,0)),0))</f>
        <v/>
      </c>
      <c r="M52" s="3" t="n"/>
      <c r="N52" s="33">
        <f>IF(I52&gt;0,I52,H52)</f>
        <v/>
      </c>
      <c r="O52" s="42">
        <f>IF(K52&gt;0,J52/K52,0)</f>
        <v/>
      </c>
      <c r="P52" s="17">
        <f>IF(G52&gt;0,G52,1)</f>
        <v/>
      </c>
      <c r="Q52" s="43">
        <f>IF(AND(H52&gt;0,I52&gt;0),H52/I52,"")</f>
        <v/>
      </c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41">
        <f>IF(B53="",0,IFERROR(INDEX(PLANO!$C$6:$N$40,MATCH(B53,PLANO!$B$6:$B$40,0),MATCH(PARAMETROS!$C$3,PLANO!$C$4:$N$4,0)),0))</f>
        <v/>
      </c>
      <c r="M53" s="3" t="n"/>
      <c r="N53" s="33">
        <f>IF(I53&gt;0,I53,H53)</f>
        <v/>
      </c>
      <c r="O53" s="42">
        <f>IF(K53&gt;0,J53/K53,0)</f>
        <v/>
      </c>
      <c r="P53" s="17">
        <f>IF(G53&gt;0,G53,1)</f>
        <v/>
      </c>
      <c r="Q53" s="43">
        <f>IF(AND(H53&gt;0,I53&gt;0),H53/I53,"")</f>
        <v/>
      </c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41">
        <f>IF(B54="",0,IFERROR(INDEX(PLANO!$C$6:$N$40,MATCH(B54,PLANO!$B$6:$B$40,0),MATCH(PARAMETROS!$C$3,PLANO!$C$4:$N$4,0)),0))</f>
        <v/>
      </c>
      <c r="M54" s="3" t="n"/>
      <c r="N54" s="33">
        <f>IF(I54&gt;0,I54,H54)</f>
        <v/>
      </c>
      <c r="O54" s="42">
        <f>IF(K54&gt;0,J54/K54,0)</f>
        <v/>
      </c>
      <c r="P54" s="17">
        <f>IF(G54&gt;0,G54,1)</f>
        <v/>
      </c>
      <c r="Q54" s="43">
        <f>IF(AND(H54&gt;0,I54&gt;0),H54/I54,"")</f>
        <v/>
      </c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41">
        <f>IF(B55="",0,IFERROR(INDEX(PLANO!$C$6:$N$40,MATCH(B55,PLANO!$B$6:$B$40,0),MATCH(PARAMETROS!$C$3,PLANO!$C$4:$N$4,0)),0))</f>
        <v/>
      </c>
      <c r="M55" s="3" t="n"/>
      <c r="N55" s="33">
        <f>IF(I55&gt;0,I55,H55)</f>
        <v/>
      </c>
      <c r="O55" s="42">
        <f>IF(K55&gt;0,J55/K55,0)</f>
        <v/>
      </c>
      <c r="P55" s="17">
        <f>IF(G55&gt;0,G55,1)</f>
        <v/>
      </c>
      <c r="Q55" s="43">
        <f>IF(AND(H55&gt;0,I55&gt;0),H55/I55,"")</f>
        <v/>
      </c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41">
        <f>IF(B56="",0,IFERROR(INDEX(PLANO!$C$6:$N$40,MATCH(B56,PLANO!$B$6:$B$40,0),MATCH(PARAMETROS!$C$3,PLANO!$C$4:$N$4,0)),0))</f>
        <v/>
      </c>
      <c r="M56" s="3" t="n"/>
      <c r="N56" s="33">
        <f>IF(I56&gt;0,I56,H56)</f>
        <v/>
      </c>
      <c r="O56" s="42">
        <f>IF(K56&gt;0,J56/K56,0)</f>
        <v/>
      </c>
      <c r="P56" s="17">
        <f>IF(G56&gt;0,G56,1)</f>
        <v/>
      </c>
      <c r="Q56" s="43">
        <f>IF(AND(H56&gt;0,I56&gt;0),H56/I56,"")</f>
        <v/>
      </c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41">
        <f>IF(B57="",0,IFERROR(INDEX(PLANO!$C$6:$N$40,MATCH(B57,PLANO!$B$6:$B$40,0),MATCH(PARAMETROS!$C$3,PLANO!$C$4:$N$4,0)),0))</f>
        <v/>
      </c>
      <c r="M57" s="3" t="n"/>
      <c r="N57" s="33">
        <f>IF(I57&gt;0,I57,H57)</f>
        <v/>
      </c>
      <c r="O57" s="42">
        <f>IF(K57&gt;0,J57/K57,0)</f>
        <v/>
      </c>
      <c r="P57" s="17">
        <f>IF(G57&gt;0,G57,1)</f>
        <v/>
      </c>
      <c r="Q57" s="43">
        <f>IF(AND(H57&gt;0,I57&gt;0),H57/I57,"")</f>
        <v/>
      </c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41">
        <f>IF(B58="",0,IFERROR(INDEX(PLANO!$C$6:$N$40,MATCH(B58,PLANO!$B$6:$B$40,0),MATCH(PARAMETROS!$C$3,PLANO!$C$4:$N$4,0)),0))</f>
        <v/>
      </c>
      <c r="M58" s="3" t="n"/>
      <c r="N58" s="33">
        <f>IF(I58&gt;0,I58,H58)</f>
        <v/>
      </c>
      <c r="O58" s="42">
        <f>IF(K58&gt;0,J58/K58,0)</f>
        <v/>
      </c>
      <c r="P58" s="17">
        <f>IF(G58&gt;0,G58,1)</f>
        <v/>
      </c>
      <c r="Q58" s="43">
        <f>IF(AND(H58&gt;0,I58&gt;0),H58/I58,"")</f>
        <v/>
      </c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41">
        <f>IF(B59="",0,IFERROR(INDEX(PLANO!$C$6:$N$40,MATCH(B59,PLANO!$B$6:$B$40,0),MATCH(PARAMETROS!$C$3,PLANO!$C$4:$N$4,0)),0))</f>
        <v/>
      </c>
      <c r="M59" s="3" t="n"/>
      <c r="N59" s="33">
        <f>IF(I59&gt;0,I59,H59)</f>
        <v/>
      </c>
      <c r="O59" s="42">
        <f>IF(K59&gt;0,J59/K59,0)</f>
        <v/>
      </c>
      <c r="P59" s="17">
        <f>IF(G59&gt;0,G59,1)</f>
        <v/>
      </c>
      <c r="Q59" s="43">
        <f>IF(AND(H59&gt;0,I59&gt;0),H59/I59,"")</f>
        <v/>
      </c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41">
        <f>IF(B60="",0,IFERROR(INDEX(PLANO!$C$6:$N$40,MATCH(B60,PLANO!$B$6:$B$40,0),MATCH(PARAMETROS!$C$3,PLANO!$C$4:$N$4,0)),0))</f>
        <v/>
      </c>
      <c r="M60" s="3" t="n"/>
      <c r="N60" s="33">
        <f>IF(I60&gt;0,I60,H60)</f>
        <v/>
      </c>
      <c r="O60" s="42">
        <f>IF(K60&gt;0,J60/K60,0)</f>
        <v/>
      </c>
      <c r="P60" s="17">
        <f>IF(G60&gt;0,G60,1)</f>
        <v/>
      </c>
      <c r="Q60" s="43">
        <f>IF(AND(H60&gt;0,I60&gt;0),H60/I60,"")</f>
        <v/>
      </c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41">
        <f>IF(B61="",0,IFERROR(INDEX(PLANO!$C$6:$N$40,MATCH(B61,PLANO!$B$6:$B$40,0),MATCH(PARAMETROS!$C$3,PLANO!$C$4:$N$4,0)),0))</f>
        <v/>
      </c>
      <c r="M61" s="3" t="n"/>
      <c r="N61" s="33">
        <f>IF(I61&gt;0,I61,H61)</f>
        <v/>
      </c>
      <c r="O61" s="42">
        <f>IF(K61&gt;0,J61/K61,0)</f>
        <v/>
      </c>
      <c r="P61" s="17">
        <f>IF(G61&gt;0,G61,1)</f>
        <v/>
      </c>
      <c r="Q61" s="43">
        <f>IF(AND(H61&gt;0,I61&gt;0),H61/I61,"")</f>
        <v/>
      </c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41">
        <f>IF(B62="",0,IFERROR(INDEX(PLANO!$C$6:$N$40,MATCH(B62,PLANO!$B$6:$B$40,0),MATCH(PARAMETROS!$C$3,PLANO!$C$4:$N$4,0)),0))</f>
        <v/>
      </c>
      <c r="M62" s="3" t="n"/>
      <c r="N62" s="33">
        <f>IF(I62&gt;0,I62,H62)</f>
        <v/>
      </c>
      <c r="O62" s="42">
        <f>IF(K62&gt;0,J62/K62,0)</f>
        <v/>
      </c>
      <c r="P62" s="17">
        <f>IF(G62&gt;0,G62,1)</f>
        <v/>
      </c>
      <c r="Q62" s="43">
        <f>IF(AND(H62&gt;0,I62&gt;0),H62/I62,"")</f>
        <v/>
      </c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41">
        <f>IF(B63="",0,IFERROR(INDEX(PLANO!$C$6:$N$40,MATCH(B63,PLANO!$B$6:$B$40,0),MATCH(PARAMETROS!$C$3,PLANO!$C$4:$N$4,0)),0))</f>
        <v/>
      </c>
      <c r="M63" s="3" t="n"/>
      <c r="N63" s="33">
        <f>IF(I63&gt;0,I63,H63)</f>
        <v/>
      </c>
      <c r="O63" s="42">
        <f>IF(K63&gt;0,J63/K63,0)</f>
        <v/>
      </c>
      <c r="P63" s="17">
        <f>IF(G63&gt;0,G63,1)</f>
        <v/>
      </c>
      <c r="Q63" s="43">
        <f>IF(AND(H63&gt;0,I63&gt;0),H63/I63,"")</f>
        <v/>
      </c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41">
        <f>IF(B64="",0,IFERROR(INDEX(PLANO!$C$6:$N$40,MATCH(B64,PLANO!$B$6:$B$40,0),MATCH(PARAMETROS!$C$3,PLANO!$C$4:$N$4,0)),0))</f>
        <v/>
      </c>
      <c r="M64" s="3" t="n"/>
      <c r="N64" s="33">
        <f>IF(I64&gt;0,I64,H64)</f>
        <v/>
      </c>
      <c r="O64" s="42">
        <f>IF(K64&gt;0,J64/K64,0)</f>
        <v/>
      </c>
      <c r="P64" s="17">
        <f>IF(G64&gt;0,G64,1)</f>
        <v/>
      </c>
      <c r="Q64" s="43">
        <f>IF(AND(H64&gt;0,I64&gt;0),H64/I64,"")</f>
        <v/>
      </c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41">
        <f>IF(B65="",0,IFERROR(INDEX(PLANO!$C$6:$N$40,MATCH(B65,PLANO!$B$6:$B$40,0),MATCH(PARAMETROS!$C$3,PLANO!$C$4:$N$4,0)),0))</f>
        <v/>
      </c>
      <c r="M65" s="3" t="n"/>
      <c r="N65" s="33">
        <f>IF(I65&gt;0,I65,H65)</f>
        <v/>
      </c>
      <c r="O65" s="42">
        <f>IF(K65&gt;0,J65/K65,0)</f>
        <v/>
      </c>
      <c r="P65" s="17">
        <f>IF(G65&gt;0,G65,1)</f>
        <v/>
      </c>
      <c r="Q65" s="43">
        <f>IF(AND(H65&gt;0,I65&gt;0),H65/I65,"")</f>
        <v/>
      </c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41">
        <f>IF(B66="",0,IFERROR(INDEX(PLANO!$C$6:$N$40,MATCH(B66,PLANO!$B$6:$B$40,0),MATCH(PARAMETROS!$C$3,PLANO!$C$4:$N$4,0)),0))</f>
        <v/>
      </c>
      <c r="M66" s="3" t="n"/>
      <c r="N66" s="33">
        <f>IF(I66&gt;0,I66,H66)</f>
        <v/>
      </c>
      <c r="O66" s="42">
        <f>IF(K66&gt;0,J66/K66,0)</f>
        <v/>
      </c>
      <c r="P66" s="17">
        <f>IF(G66&gt;0,G66,1)</f>
        <v/>
      </c>
      <c r="Q66" s="43">
        <f>IF(AND(H66&gt;0,I66&gt;0),H66/I66,"")</f>
        <v/>
      </c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41">
        <f>IF(B67="",0,IFERROR(INDEX(PLANO!$C$6:$N$40,MATCH(B67,PLANO!$B$6:$B$40,0),MATCH(PARAMETROS!$C$3,PLANO!$C$4:$N$4,0)),0))</f>
        <v/>
      </c>
      <c r="M67" s="3" t="n"/>
      <c r="N67" s="33">
        <f>IF(I67&gt;0,I67,H67)</f>
        <v/>
      </c>
      <c r="O67" s="42">
        <f>IF(K67&gt;0,J67/K67,0)</f>
        <v/>
      </c>
      <c r="P67" s="17">
        <f>IF(G67&gt;0,G67,1)</f>
        <v/>
      </c>
      <c r="Q67" s="43">
        <f>IF(AND(H67&gt;0,I67&gt;0),H67/I67,"")</f>
        <v/>
      </c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41">
        <f>IF(B68="",0,IFERROR(INDEX(PLANO!$C$6:$N$40,MATCH(B68,PLANO!$B$6:$B$40,0),MATCH(PARAMETROS!$C$3,PLANO!$C$4:$N$4,0)),0))</f>
        <v/>
      </c>
      <c r="M68" s="3" t="n"/>
      <c r="N68" s="33">
        <f>IF(I68&gt;0,I68,H68)</f>
        <v/>
      </c>
      <c r="O68" s="42">
        <f>IF(K68&gt;0,J68/K68,0)</f>
        <v/>
      </c>
      <c r="P68" s="17">
        <f>IF(G68&gt;0,G68,1)</f>
        <v/>
      </c>
      <c r="Q68" s="43">
        <f>IF(AND(H68&gt;0,I68&gt;0),H68/I68,"")</f>
        <v/>
      </c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41">
        <f>IF(B69="",0,IFERROR(INDEX(PLANO!$C$6:$N$40,MATCH(B69,PLANO!$B$6:$B$40,0),MATCH(PARAMETROS!$C$3,PLANO!$C$4:$N$4,0)),0))</f>
        <v/>
      </c>
      <c r="M69" s="3" t="n"/>
      <c r="N69" s="33">
        <f>IF(I69&gt;0,I69,H69)</f>
        <v/>
      </c>
      <c r="O69" s="42">
        <f>IF(K69&gt;0,J69/K69,0)</f>
        <v/>
      </c>
      <c r="P69" s="17">
        <f>IF(G69&gt;0,G69,1)</f>
        <v/>
      </c>
      <c r="Q69" s="43">
        <f>IF(AND(H69&gt;0,I69&gt;0),H69/I69,"")</f>
        <v/>
      </c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41">
        <f>IF(B70="",0,IFERROR(INDEX(PLANO!$C$6:$N$40,MATCH(B70,PLANO!$B$6:$B$40,0),MATCH(PARAMETROS!$C$3,PLANO!$C$4:$N$4,0)),0))</f>
        <v/>
      </c>
      <c r="M70" s="3" t="n"/>
      <c r="N70" s="33">
        <f>IF(I70&gt;0,I70,H70)</f>
        <v/>
      </c>
      <c r="O70" s="42">
        <f>IF(K70&gt;0,J70/K70,0)</f>
        <v/>
      </c>
      <c r="P70" s="17">
        <f>IF(G70&gt;0,G70,1)</f>
        <v/>
      </c>
      <c r="Q70" s="43">
        <f>IF(AND(H70&gt;0,I70&gt;0),H70/I70,"")</f>
        <v/>
      </c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41">
        <f>IF(B71="",0,IFERROR(INDEX(PLANO!$C$6:$N$40,MATCH(B71,PLANO!$B$6:$B$40,0),MATCH(PARAMETROS!$C$3,PLANO!$C$4:$N$4,0)),0))</f>
        <v/>
      </c>
      <c r="M71" s="3" t="n"/>
      <c r="N71" s="33">
        <f>IF(I71&gt;0,I71,H71)</f>
        <v/>
      </c>
      <c r="O71" s="42">
        <f>IF(K71&gt;0,J71/K71,0)</f>
        <v/>
      </c>
      <c r="P71" s="17">
        <f>IF(G71&gt;0,G71,1)</f>
        <v/>
      </c>
      <c r="Q71" s="43">
        <f>IF(AND(H71&gt;0,I71&gt;0),H71/I71,"")</f>
        <v/>
      </c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41">
        <f>IF(B72="",0,IFERROR(INDEX(PLANO!$C$6:$N$40,MATCH(B72,PLANO!$B$6:$B$40,0),MATCH(PARAMETROS!$C$3,PLANO!$C$4:$N$4,0)),0))</f>
        <v/>
      </c>
      <c r="M72" s="3" t="n"/>
      <c r="N72" s="33">
        <f>IF(I72&gt;0,I72,H72)</f>
        <v/>
      </c>
      <c r="O72" s="42">
        <f>IF(K72&gt;0,J72/K72,0)</f>
        <v/>
      </c>
      <c r="P72" s="17">
        <f>IF(G72&gt;0,G72,1)</f>
        <v/>
      </c>
      <c r="Q72" s="43">
        <f>IF(AND(H72&gt;0,I72&gt;0),H72/I72,"")</f>
        <v/>
      </c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41">
        <f>IF(B73="",0,IFERROR(INDEX(PLANO!$C$6:$N$40,MATCH(B73,PLANO!$B$6:$B$40,0),MATCH(PARAMETROS!$C$3,PLANO!$C$4:$N$4,0)),0))</f>
        <v/>
      </c>
      <c r="M73" s="3" t="n"/>
      <c r="N73" s="33">
        <f>IF(I73&gt;0,I73,H73)</f>
        <v/>
      </c>
      <c r="O73" s="42">
        <f>IF(K73&gt;0,J73/K73,0)</f>
        <v/>
      </c>
      <c r="P73" s="17">
        <f>IF(G73&gt;0,G73,1)</f>
        <v/>
      </c>
      <c r="Q73" s="43">
        <f>IF(AND(H73&gt;0,I73&gt;0),H73/I73,"")</f>
        <v/>
      </c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41">
        <f>IF(B74="",0,IFERROR(INDEX(PLANO!$C$6:$N$40,MATCH(B74,PLANO!$B$6:$B$40,0),MATCH(PARAMETROS!$C$3,PLANO!$C$4:$N$4,0)),0))</f>
        <v/>
      </c>
      <c r="M74" s="3" t="n"/>
      <c r="N74" s="33">
        <f>IF(I74&gt;0,I74,H74)</f>
        <v/>
      </c>
      <c r="O74" s="42">
        <f>IF(K74&gt;0,J74/K74,0)</f>
        <v/>
      </c>
      <c r="P74" s="17">
        <f>IF(G74&gt;0,G74,1)</f>
        <v/>
      </c>
      <c r="Q74" s="43">
        <f>IF(AND(H74&gt;0,I74&gt;0),H74/I74,"")</f>
        <v/>
      </c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41">
        <f>IF(B75="",0,IFERROR(INDEX(PLANO!$C$6:$N$40,MATCH(B75,PLANO!$B$6:$B$40,0),MATCH(PARAMETROS!$C$3,PLANO!$C$4:$N$4,0)),0))</f>
        <v/>
      </c>
      <c r="M75" s="3" t="n"/>
      <c r="N75" s="33">
        <f>IF(I75&gt;0,I75,H75)</f>
        <v/>
      </c>
      <c r="O75" s="42">
        <f>IF(K75&gt;0,J75/K75,0)</f>
        <v/>
      </c>
      <c r="P75" s="17">
        <f>IF(G75&gt;0,G75,1)</f>
        <v/>
      </c>
      <c r="Q75" s="43">
        <f>IF(AND(H75&gt;0,I75&gt;0),H75/I75,"")</f>
        <v/>
      </c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41">
        <f>IF(B76="",0,IFERROR(INDEX(PLANO!$C$6:$N$40,MATCH(B76,PLANO!$B$6:$B$40,0),MATCH(PARAMETROS!$C$3,PLANO!$C$4:$N$4,0)),0))</f>
        <v/>
      </c>
      <c r="M76" s="3" t="n"/>
      <c r="N76" s="33">
        <f>IF(I76&gt;0,I76,H76)</f>
        <v/>
      </c>
      <c r="O76" s="42">
        <f>IF(K76&gt;0,J76/K76,0)</f>
        <v/>
      </c>
      <c r="P76" s="17">
        <f>IF(G76&gt;0,G76,1)</f>
        <v/>
      </c>
      <c r="Q76" s="43">
        <f>IF(AND(H76&gt;0,I76&gt;0),H76/I76,"")</f>
        <v/>
      </c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41">
        <f>IF(B77="",0,IFERROR(INDEX(PLANO!$C$6:$N$40,MATCH(B77,PLANO!$B$6:$B$40,0),MATCH(PARAMETROS!$C$3,PLANO!$C$4:$N$4,0)),0))</f>
        <v/>
      </c>
      <c r="M77" s="3" t="n"/>
      <c r="N77" s="33">
        <f>IF(I77&gt;0,I77,H77)</f>
        <v/>
      </c>
      <c r="O77" s="42">
        <f>IF(K77&gt;0,J77/K77,0)</f>
        <v/>
      </c>
      <c r="P77" s="17">
        <f>IF(G77&gt;0,G77,1)</f>
        <v/>
      </c>
      <c r="Q77" s="43">
        <f>IF(AND(H77&gt;0,I77&gt;0),H77/I77,"")</f>
        <v/>
      </c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41">
        <f>IF(B78="",0,IFERROR(INDEX(PLANO!$C$6:$N$40,MATCH(B78,PLANO!$B$6:$B$40,0),MATCH(PARAMETROS!$C$3,PLANO!$C$4:$N$4,0)),0))</f>
        <v/>
      </c>
      <c r="M78" s="3" t="n"/>
      <c r="N78" s="33">
        <f>IF(I78&gt;0,I78,H78)</f>
        <v/>
      </c>
      <c r="O78" s="42">
        <f>IF(K78&gt;0,J78/K78,0)</f>
        <v/>
      </c>
      <c r="P78" s="17">
        <f>IF(G78&gt;0,G78,1)</f>
        <v/>
      </c>
      <c r="Q78" s="43">
        <f>IF(AND(H78&gt;0,I78&gt;0),H78/I78,"")</f>
        <v/>
      </c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41">
        <f>IF(B79="",0,IFERROR(INDEX(PLANO!$C$6:$N$40,MATCH(B79,PLANO!$B$6:$B$40,0),MATCH(PARAMETROS!$C$3,PLANO!$C$4:$N$4,0)),0))</f>
        <v/>
      </c>
      <c r="M79" s="3" t="n"/>
      <c r="N79" s="33">
        <f>IF(I79&gt;0,I79,H79)</f>
        <v/>
      </c>
      <c r="O79" s="42">
        <f>IF(K79&gt;0,J79/K79,0)</f>
        <v/>
      </c>
      <c r="P79" s="17">
        <f>IF(G79&gt;0,G79,1)</f>
        <v/>
      </c>
      <c r="Q79" s="43">
        <f>IF(AND(H79&gt;0,I79&gt;0),H79/I79,"")</f>
        <v/>
      </c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41">
        <f>IF(B80="",0,IFERROR(INDEX(PLANO!$C$6:$N$40,MATCH(B80,PLANO!$B$6:$B$40,0),MATCH(PARAMETROS!$C$3,PLANO!$C$4:$N$4,0)),0))</f>
        <v/>
      </c>
      <c r="M80" s="3" t="n"/>
      <c r="N80" s="33">
        <f>IF(I80&gt;0,I80,H80)</f>
        <v/>
      </c>
      <c r="O80" s="42">
        <f>IF(K80&gt;0,J80/K80,0)</f>
        <v/>
      </c>
      <c r="P80" s="17">
        <f>IF(G80&gt;0,G80,1)</f>
        <v/>
      </c>
      <c r="Q80" s="43">
        <f>IF(AND(H80&gt;0,I80&gt;0),H80/I80,"")</f>
        <v/>
      </c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41">
        <f>IF(B81="",0,IFERROR(INDEX(PLANO!$C$6:$N$40,MATCH(B81,PLANO!$B$6:$B$40,0),MATCH(PARAMETROS!$C$3,PLANO!$C$4:$N$4,0)),0))</f>
        <v/>
      </c>
      <c r="M81" s="3" t="n"/>
      <c r="N81" s="33">
        <f>IF(I81&gt;0,I81,H81)</f>
        <v/>
      </c>
      <c r="O81" s="42">
        <f>IF(K81&gt;0,J81/K81,0)</f>
        <v/>
      </c>
      <c r="P81" s="17">
        <f>IF(G81&gt;0,G81,1)</f>
        <v/>
      </c>
      <c r="Q81" s="43">
        <f>IF(AND(H81&gt;0,I81&gt;0),H81/I81,"")</f>
        <v/>
      </c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41">
        <f>IF(B82="",0,IFERROR(INDEX(PLANO!$C$6:$N$40,MATCH(B82,PLANO!$B$6:$B$40,0),MATCH(PARAMETROS!$C$3,PLANO!$C$4:$N$4,0)),0))</f>
        <v/>
      </c>
      <c r="M82" s="3" t="n"/>
      <c r="N82" s="33">
        <f>IF(I82&gt;0,I82,H82)</f>
        <v/>
      </c>
      <c r="O82" s="42">
        <f>IF(K82&gt;0,J82/K82,0)</f>
        <v/>
      </c>
      <c r="P82" s="17">
        <f>IF(G82&gt;0,G82,1)</f>
        <v/>
      </c>
      <c r="Q82" s="43">
        <f>IF(AND(H82&gt;0,I82&gt;0),H82/I82,"")</f>
        <v/>
      </c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41">
        <f>IF(B83="",0,IFERROR(INDEX(PLANO!$C$6:$N$40,MATCH(B83,PLANO!$B$6:$B$40,0),MATCH(PARAMETROS!$C$3,PLANO!$C$4:$N$4,0)),0))</f>
        <v/>
      </c>
      <c r="M83" s="3" t="n"/>
      <c r="N83" s="33">
        <f>IF(I83&gt;0,I83,H83)</f>
        <v/>
      </c>
      <c r="O83" s="42">
        <f>IF(K83&gt;0,J83/K83,0)</f>
        <v/>
      </c>
      <c r="P83" s="17">
        <f>IF(G83&gt;0,G83,1)</f>
        <v/>
      </c>
      <c r="Q83" s="43">
        <f>IF(AND(H83&gt;0,I83&gt;0),H83/I83,"")</f>
        <v/>
      </c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41">
        <f>IF(B84="",0,IFERROR(INDEX(PLANO!$C$6:$N$40,MATCH(B84,PLANO!$B$6:$B$40,0),MATCH(PARAMETROS!$C$3,PLANO!$C$4:$N$4,0)),0))</f>
        <v/>
      </c>
      <c r="M84" s="3" t="n"/>
      <c r="N84" s="33">
        <f>IF(I84&gt;0,I84,H84)</f>
        <v/>
      </c>
      <c r="O84" s="42">
        <f>IF(K84&gt;0,J84/K84,0)</f>
        <v/>
      </c>
      <c r="P84" s="17">
        <f>IF(G84&gt;0,G84,1)</f>
        <v/>
      </c>
      <c r="Q84" s="43">
        <f>IF(AND(H84&gt;0,I84&gt;0),H84/I84,"")</f>
        <v/>
      </c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41">
        <f>IF(B85="",0,IFERROR(INDEX(PLANO!$C$6:$N$40,MATCH(B85,PLANO!$B$6:$B$40,0),MATCH(PARAMETROS!$C$3,PLANO!$C$4:$N$4,0)),0))</f>
        <v/>
      </c>
      <c r="M85" s="3" t="n"/>
      <c r="N85" s="33">
        <f>IF(I85&gt;0,I85,H85)</f>
        <v/>
      </c>
      <c r="O85" s="42">
        <f>IF(K85&gt;0,J85/K85,0)</f>
        <v/>
      </c>
      <c r="P85" s="17">
        <f>IF(G85&gt;0,G85,1)</f>
        <v/>
      </c>
      <c r="Q85" s="43">
        <f>IF(AND(H85&gt;0,I85&gt;0),H85/I85,"")</f>
        <v/>
      </c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41">
        <f>IF(B86="",0,IFERROR(INDEX(PLANO!$C$6:$N$40,MATCH(B86,PLANO!$B$6:$B$40,0),MATCH(PARAMETROS!$C$3,PLANO!$C$4:$N$4,0)),0))</f>
        <v/>
      </c>
      <c r="M86" s="3" t="n"/>
      <c r="N86" s="33">
        <f>IF(I86&gt;0,I86,H86)</f>
        <v/>
      </c>
      <c r="O86" s="42">
        <f>IF(K86&gt;0,J86/K86,0)</f>
        <v/>
      </c>
      <c r="P86" s="17">
        <f>IF(G86&gt;0,G86,1)</f>
        <v/>
      </c>
      <c r="Q86" s="43">
        <f>IF(AND(H86&gt;0,I86&gt;0),H86/I86,"")</f>
        <v/>
      </c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41">
        <f>IF(B87="",0,IFERROR(INDEX(PLANO!$C$6:$N$40,MATCH(B87,PLANO!$B$6:$B$40,0),MATCH(PARAMETROS!$C$3,PLANO!$C$4:$N$4,0)),0))</f>
        <v/>
      </c>
      <c r="M87" s="3" t="n"/>
      <c r="N87" s="33">
        <f>IF(I87&gt;0,I87,H87)</f>
        <v/>
      </c>
      <c r="O87" s="42">
        <f>IF(K87&gt;0,J87/K87,0)</f>
        <v/>
      </c>
      <c r="P87" s="17">
        <f>IF(G87&gt;0,G87,1)</f>
        <v/>
      </c>
      <c r="Q87" s="43">
        <f>IF(AND(H87&gt;0,I87&gt;0),H87/I87,"")</f>
        <v/>
      </c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41">
        <f>IF(B88="",0,IFERROR(INDEX(PLANO!$C$6:$N$40,MATCH(B88,PLANO!$B$6:$B$40,0),MATCH(PARAMETROS!$C$3,PLANO!$C$4:$N$4,0)),0))</f>
        <v/>
      </c>
      <c r="M88" s="3" t="n"/>
      <c r="N88" s="33">
        <f>IF(I88&gt;0,I88,H88)</f>
        <v/>
      </c>
      <c r="O88" s="42">
        <f>IF(K88&gt;0,J88/K88,0)</f>
        <v/>
      </c>
      <c r="P88" s="17">
        <f>IF(G88&gt;0,G88,1)</f>
        <v/>
      </c>
      <c r="Q88" s="43">
        <f>IF(AND(H88&gt;0,I88&gt;0),H88/I88,"")</f>
        <v/>
      </c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41">
        <f>IF(B89="",0,IFERROR(INDEX(PLANO!$C$6:$N$40,MATCH(B89,PLANO!$B$6:$B$40,0),MATCH(PARAMETROS!$C$3,PLANO!$C$4:$N$4,0)),0))</f>
        <v/>
      </c>
      <c r="M89" s="3" t="n"/>
      <c r="N89" s="33">
        <f>IF(I89&gt;0,I89,H89)</f>
        <v/>
      </c>
      <c r="O89" s="42">
        <f>IF(K89&gt;0,J89/K89,0)</f>
        <v/>
      </c>
      <c r="P89" s="17">
        <f>IF(G89&gt;0,G89,1)</f>
        <v/>
      </c>
      <c r="Q89" s="43">
        <f>IF(AND(H89&gt;0,I89&gt;0),H89/I89,"")</f>
        <v/>
      </c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41">
        <f>IF(B90="",0,IFERROR(INDEX(PLANO!$C$6:$N$40,MATCH(B90,PLANO!$B$6:$B$40,0),MATCH(PARAMETROS!$C$3,PLANO!$C$4:$N$4,0)),0))</f>
        <v/>
      </c>
      <c r="M90" s="3" t="n"/>
      <c r="N90" s="33">
        <f>IF(I90&gt;0,I90,H90)</f>
        <v/>
      </c>
      <c r="O90" s="42">
        <f>IF(K90&gt;0,J90/K90,0)</f>
        <v/>
      </c>
      <c r="P90" s="17">
        <f>IF(G90&gt;0,G90,1)</f>
        <v/>
      </c>
      <c r="Q90" s="43">
        <f>IF(AND(H90&gt;0,I90&gt;0),H90/I90,"")</f>
        <v/>
      </c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41">
        <f>IF(B91="",0,IFERROR(INDEX(PLANO!$C$6:$N$40,MATCH(B91,PLANO!$B$6:$B$40,0),MATCH(PARAMETROS!$C$3,PLANO!$C$4:$N$4,0)),0))</f>
        <v/>
      </c>
      <c r="M91" s="3" t="n"/>
      <c r="N91" s="33">
        <f>IF(I91&gt;0,I91,H91)</f>
        <v/>
      </c>
      <c r="O91" s="42">
        <f>IF(K91&gt;0,J91/K91,0)</f>
        <v/>
      </c>
      <c r="P91" s="17">
        <f>IF(G91&gt;0,G91,1)</f>
        <v/>
      </c>
      <c r="Q91" s="43">
        <f>IF(AND(H91&gt;0,I91&gt;0),H91/I91,"")</f>
        <v/>
      </c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41">
        <f>IF(B92="",0,IFERROR(INDEX(PLANO!$C$6:$N$40,MATCH(B92,PLANO!$B$6:$B$40,0),MATCH(PARAMETROS!$C$3,PLANO!$C$4:$N$4,0)),0))</f>
        <v/>
      </c>
      <c r="M92" s="3" t="n"/>
      <c r="N92" s="33">
        <f>IF(I92&gt;0,I92,H92)</f>
        <v/>
      </c>
      <c r="O92" s="42">
        <f>IF(K92&gt;0,J92/K92,0)</f>
        <v/>
      </c>
      <c r="P92" s="17">
        <f>IF(G92&gt;0,G92,1)</f>
        <v/>
      </c>
      <c r="Q92" s="43">
        <f>IF(AND(H92&gt;0,I92&gt;0),H92/I92,"")</f>
        <v/>
      </c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41">
        <f>IF(B93="",0,IFERROR(INDEX(PLANO!$C$6:$N$40,MATCH(B93,PLANO!$B$6:$B$40,0),MATCH(PARAMETROS!$C$3,PLANO!$C$4:$N$4,0)),0))</f>
        <v/>
      </c>
      <c r="M93" s="3" t="n"/>
      <c r="N93" s="33">
        <f>IF(I93&gt;0,I93,H93)</f>
        <v/>
      </c>
      <c r="O93" s="42">
        <f>IF(K93&gt;0,J93/K93,0)</f>
        <v/>
      </c>
      <c r="P93" s="17">
        <f>IF(G93&gt;0,G93,1)</f>
        <v/>
      </c>
      <c r="Q93" s="43">
        <f>IF(AND(H93&gt;0,I93&gt;0),H93/I93,"")</f>
        <v/>
      </c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41">
        <f>IF(B94="",0,IFERROR(INDEX(PLANO!$C$6:$N$40,MATCH(B94,PLANO!$B$6:$B$40,0),MATCH(PARAMETROS!$C$3,PLANO!$C$4:$N$4,0)),0))</f>
        <v/>
      </c>
      <c r="M94" s="3" t="n"/>
      <c r="N94" s="33">
        <f>IF(I94&gt;0,I94,H94)</f>
        <v/>
      </c>
      <c r="O94" s="42">
        <f>IF(K94&gt;0,J94/K94,0)</f>
        <v/>
      </c>
      <c r="P94" s="17">
        <f>IF(G94&gt;0,G94,1)</f>
        <v/>
      </c>
      <c r="Q94" s="43">
        <f>IF(AND(H94&gt;0,I94&gt;0),H94/I94,"")</f>
        <v/>
      </c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41">
        <f>IF(B95="",0,IFERROR(INDEX(PLANO!$C$6:$N$40,MATCH(B95,PLANO!$B$6:$B$40,0),MATCH(PARAMETROS!$C$3,PLANO!$C$4:$N$4,0)),0))</f>
        <v/>
      </c>
      <c r="M95" s="3" t="n"/>
      <c r="N95" s="33">
        <f>IF(I95&gt;0,I95,H95)</f>
        <v/>
      </c>
      <c r="O95" s="42">
        <f>IF(K95&gt;0,J95/K95,0)</f>
        <v/>
      </c>
      <c r="P95" s="17">
        <f>IF(G95&gt;0,G95,1)</f>
        <v/>
      </c>
      <c r="Q95" s="43">
        <f>IF(AND(H95&gt;0,I95&gt;0),H95/I95,"")</f>
        <v/>
      </c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41">
        <f>IF(B96="",0,IFERROR(INDEX(PLANO!$C$6:$N$40,MATCH(B96,PLANO!$B$6:$B$40,0),MATCH(PARAMETROS!$C$3,PLANO!$C$4:$N$4,0)),0))</f>
        <v/>
      </c>
      <c r="M96" s="3" t="n"/>
      <c r="N96" s="33">
        <f>IF(I96&gt;0,I96,H96)</f>
        <v/>
      </c>
      <c r="O96" s="42">
        <f>IF(K96&gt;0,J96/K96,0)</f>
        <v/>
      </c>
      <c r="P96" s="17">
        <f>IF(G96&gt;0,G96,1)</f>
        <v/>
      </c>
      <c r="Q96" s="43">
        <f>IF(AND(H96&gt;0,I96&gt;0),H96/I96,"")</f>
        <v/>
      </c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41">
        <f>IF(B97="",0,IFERROR(INDEX(PLANO!$C$6:$N$40,MATCH(B97,PLANO!$B$6:$B$40,0),MATCH(PARAMETROS!$C$3,PLANO!$C$4:$N$4,0)),0))</f>
        <v/>
      </c>
      <c r="M97" s="3" t="n"/>
      <c r="N97" s="33">
        <f>IF(I97&gt;0,I97,H97)</f>
        <v/>
      </c>
      <c r="O97" s="42">
        <f>IF(K97&gt;0,J97/K97,0)</f>
        <v/>
      </c>
      <c r="P97" s="17">
        <f>IF(G97&gt;0,G97,1)</f>
        <v/>
      </c>
      <c r="Q97" s="43">
        <f>IF(AND(H97&gt;0,I97&gt;0),H97/I97,"")</f>
        <v/>
      </c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41">
        <f>IF(B98="",0,IFERROR(INDEX(PLANO!$C$6:$N$40,MATCH(B98,PLANO!$B$6:$B$40,0),MATCH(PARAMETROS!$C$3,PLANO!$C$4:$N$4,0)),0))</f>
        <v/>
      </c>
      <c r="M98" s="3" t="n"/>
      <c r="N98" s="33">
        <f>IF(I98&gt;0,I98,H98)</f>
        <v/>
      </c>
      <c r="O98" s="42">
        <f>IF(K98&gt;0,J98/K98,0)</f>
        <v/>
      </c>
      <c r="P98" s="17">
        <f>IF(G98&gt;0,G98,1)</f>
        <v/>
      </c>
      <c r="Q98" s="43">
        <f>IF(AND(H98&gt;0,I98&gt;0),H98/I98,"")</f>
        <v/>
      </c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41">
        <f>IF(B99="",0,IFERROR(INDEX(PLANO!$C$6:$N$40,MATCH(B99,PLANO!$B$6:$B$40,0),MATCH(PARAMETROS!$C$3,PLANO!$C$4:$N$4,0)),0))</f>
        <v/>
      </c>
      <c r="M99" s="3" t="n"/>
      <c r="N99" s="33">
        <f>IF(I99&gt;0,I99,H99)</f>
        <v/>
      </c>
      <c r="O99" s="42">
        <f>IF(K99&gt;0,J99/K99,0)</f>
        <v/>
      </c>
      <c r="P99" s="17">
        <f>IF(G99&gt;0,G99,1)</f>
        <v/>
      </c>
      <c r="Q99" s="43">
        <f>IF(AND(H99&gt;0,I99&gt;0),H99/I99,"")</f>
        <v/>
      </c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41">
        <f>IF(B100="",0,IFERROR(INDEX(PLANO!$C$6:$N$40,MATCH(B100,PLANO!$B$6:$B$40,0),MATCH(PARAMETROS!$C$3,PLANO!$C$4:$N$4,0)),0))</f>
        <v/>
      </c>
      <c r="M100" s="3" t="n"/>
      <c r="N100" s="33">
        <f>IF(I100&gt;0,I100,H100)</f>
        <v/>
      </c>
      <c r="O100" s="42">
        <f>IF(K100&gt;0,J100/K100,0)</f>
        <v/>
      </c>
      <c r="P100" s="17">
        <f>IF(G100&gt;0,G100,1)</f>
        <v/>
      </c>
      <c r="Q100" s="43">
        <f>IF(AND(H100&gt;0,I100&gt;0),H100/I100,"")</f>
        <v/>
      </c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41">
        <f>IF(B101="",0,IFERROR(INDEX(PLANO!$C$6:$N$40,MATCH(B101,PLANO!$B$6:$B$40,0),MATCH(PARAMETROS!$C$3,PLANO!$C$4:$N$4,0)),0))</f>
        <v/>
      </c>
      <c r="M101" s="3" t="n"/>
      <c r="N101" s="33">
        <f>IF(I101&gt;0,I101,H101)</f>
        <v/>
      </c>
      <c r="O101" s="42">
        <f>IF(K101&gt;0,J101/K101,0)</f>
        <v/>
      </c>
      <c r="P101" s="17">
        <f>IF(G101&gt;0,G101,1)</f>
        <v/>
      </c>
      <c r="Q101" s="43">
        <f>IF(AND(H101&gt;0,I101&gt;0),H101/I101,"")</f>
        <v/>
      </c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41">
        <f>IF(B102="",0,IFERROR(INDEX(PLANO!$C$6:$N$40,MATCH(B102,PLANO!$B$6:$B$40,0),MATCH(PARAMETROS!$C$3,PLANO!$C$4:$N$4,0)),0))</f>
        <v/>
      </c>
      <c r="M102" s="3" t="n"/>
      <c r="N102" s="33">
        <f>IF(I102&gt;0,I102,H102)</f>
        <v/>
      </c>
      <c r="O102" s="42">
        <f>IF(K102&gt;0,J102/K102,0)</f>
        <v/>
      </c>
      <c r="P102" s="17">
        <f>IF(G102&gt;0,G102,1)</f>
        <v/>
      </c>
      <c r="Q102" s="43">
        <f>IF(AND(H102&gt;0,I102&gt;0),H102/I102,"")</f>
        <v/>
      </c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41">
        <f>IF(B103="",0,IFERROR(INDEX(PLANO!$C$6:$N$40,MATCH(B103,PLANO!$B$6:$B$40,0),MATCH(PARAMETROS!$C$3,PLANO!$C$4:$N$4,0)),0))</f>
        <v/>
      </c>
      <c r="M103" s="3" t="n"/>
      <c r="N103" s="33">
        <f>IF(I103&gt;0,I103,H103)</f>
        <v/>
      </c>
      <c r="O103" s="42">
        <f>IF(K103&gt;0,J103/K103,0)</f>
        <v/>
      </c>
      <c r="P103" s="17">
        <f>IF(G103&gt;0,G103,1)</f>
        <v/>
      </c>
      <c r="Q103" s="43">
        <f>IF(AND(H103&gt;0,I103&gt;0),H103/I103,"")</f>
        <v/>
      </c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41">
        <f>IF(B104="",0,IFERROR(INDEX(PLANO!$C$6:$N$40,MATCH(B104,PLANO!$B$6:$B$40,0),MATCH(PARAMETROS!$C$3,PLANO!$C$4:$N$4,0)),0))</f>
        <v/>
      </c>
      <c r="M104" s="3" t="n"/>
      <c r="N104" s="33">
        <f>IF(I104&gt;0,I104,H104)</f>
        <v/>
      </c>
      <c r="O104" s="42">
        <f>IF(K104&gt;0,J104/K104,0)</f>
        <v/>
      </c>
      <c r="P104" s="17">
        <f>IF(G104&gt;0,G104,1)</f>
        <v/>
      </c>
      <c r="Q104" s="43">
        <f>IF(AND(H104&gt;0,I104&gt;0),H104/I104,"")</f>
        <v/>
      </c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41">
        <f>IF(B105="",0,IFERROR(INDEX(PLANO!$C$6:$N$40,MATCH(B105,PLANO!$B$6:$B$40,0),MATCH(PARAMETROS!$C$3,PLANO!$C$4:$N$4,0)),0))</f>
        <v/>
      </c>
      <c r="M105" s="3" t="n"/>
      <c r="N105" s="33">
        <f>IF(I105&gt;0,I105,H105)</f>
        <v/>
      </c>
      <c r="O105" s="42">
        <f>IF(K105&gt;0,J105/K105,0)</f>
        <v/>
      </c>
      <c r="P105" s="17">
        <f>IF(G105&gt;0,G105,1)</f>
        <v/>
      </c>
      <c r="Q105" s="43">
        <f>IF(AND(H105&gt;0,I105&gt;0),H105/I105,"")</f>
        <v/>
      </c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41">
        <f>IF(B106="",0,IFERROR(INDEX(PLANO!$C$6:$N$40,MATCH(B106,PLANO!$B$6:$B$40,0),MATCH(PARAMETROS!$C$3,PLANO!$C$4:$N$4,0)),0))</f>
        <v/>
      </c>
      <c r="M106" s="3" t="n"/>
      <c r="N106" s="33">
        <f>IF(I106&gt;0,I106,H106)</f>
        <v/>
      </c>
      <c r="O106" s="42">
        <f>IF(K106&gt;0,J106/K106,0)</f>
        <v/>
      </c>
      <c r="P106" s="17">
        <f>IF(G106&gt;0,G106,1)</f>
        <v/>
      </c>
      <c r="Q106" s="43">
        <f>IF(AND(H106&gt;0,I106&gt;0),H106/I106,"")</f>
        <v/>
      </c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41">
        <f>IF(B107="",0,IFERROR(INDEX(PLANO!$C$6:$N$40,MATCH(B107,PLANO!$B$6:$B$40,0),MATCH(PARAMETROS!$C$3,PLANO!$C$4:$N$4,0)),0))</f>
        <v/>
      </c>
      <c r="M107" s="3" t="n"/>
      <c r="N107" s="33">
        <f>IF(I107&gt;0,I107,H107)</f>
        <v/>
      </c>
      <c r="O107" s="42">
        <f>IF(K107&gt;0,J107/K107,0)</f>
        <v/>
      </c>
      <c r="P107" s="17">
        <f>IF(G107&gt;0,G107,1)</f>
        <v/>
      </c>
      <c r="Q107" s="43">
        <f>IF(AND(H107&gt;0,I107&gt;0),H107/I107,"")</f>
        <v/>
      </c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41">
        <f>IF(B108="",0,IFERROR(INDEX(PLANO!$C$6:$N$40,MATCH(B108,PLANO!$B$6:$B$40,0),MATCH(PARAMETROS!$C$3,PLANO!$C$4:$N$4,0)),0))</f>
        <v/>
      </c>
      <c r="M108" s="3" t="n"/>
      <c r="N108" s="33">
        <f>IF(I108&gt;0,I108,H108)</f>
        <v/>
      </c>
      <c r="O108" s="42">
        <f>IF(K108&gt;0,J108/K108,0)</f>
        <v/>
      </c>
      <c r="P108" s="17">
        <f>IF(G108&gt;0,G108,1)</f>
        <v/>
      </c>
      <c r="Q108" s="43">
        <f>IF(AND(H108&gt;0,I108&gt;0),H108/I108,"")</f>
        <v/>
      </c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41">
        <f>IF(B109="",0,IFERROR(INDEX(PLANO!$C$6:$N$40,MATCH(B109,PLANO!$B$6:$B$40,0),MATCH(PARAMETROS!$C$3,PLANO!$C$4:$N$4,0)),0))</f>
        <v/>
      </c>
      <c r="M109" s="3" t="n"/>
      <c r="N109" s="33">
        <f>IF(I109&gt;0,I109,H109)</f>
        <v/>
      </c>
      <c r="O109" s="42">
        <f>IF(K109&gt;0,J109/K109,0)</f>
        <v/>
      </c>
      <c r="P109" s="17">
        <f>IF(G109&gt;0,G109,1)</f>
        <v/>
      </c>
      <c r="Q109" s="43">
        <f>IF(AND(H109&gt;0,I109&gt;0),H109/I109,"")</f>
        <v/>
      </c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41">
        <f>IF(B110="",0,IFERROR(INDEX(PLANO!$C$6:$N$40,MATCH(B110,PLANO!$B$6:$B$40,0),MATCH(PARAMETROS!$C$3,PLANO!$C$4:$N$4,0)),0))</f>
        <v/>
      </c>
      <c r="M110" s="3" t="n"/>
      <c r="N110" s="33">
        <f>IF(I110&gt;0,I110,H110)</f>
        <v/>
      </c>
      <c r="O110" s="42">
        <f>IF(K110&gt;0,J110/K110,0)</f>
        <v/>
      </c>
      <c r="P110" s="17">
        <f>IF(G110&gt;0,G110,1)</f>
        <v/>
      </c>
      <c r="Q110" s="43">
        <f>IF(AND(H110&gt;0,I110&gt;0),H110/I110,"")</f>
        <v/>
      </c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41">
        <f>IF(B111="",0,IFERROR(INDEX(PLANO!$C$6:$N$40,MATCH(B111,PLANO!$B$6:$B$40,0),MATCH(PARAMETROS!$C$3,PLANO!$C$4:$N$4,0)),0))</f>
        <v/>
      </c>
      <c r="M111" s="3" t="n"/>
      <c r="N111" s="33">
        <f>IF(I111&gt;0,I111,H111)</f>
        <v/>
      </c>
      <c r="O111" s="42">
        <f>IF(K111&gt;0,J111/K111,0)</f>
        <v/>
      </c>
      <c r="P111" s="17">
        <f>IF(G111&gt;0,G111,1)</f>
        <v/>
      </c>
      <c r="Q111" s="43">
        <f>IF(AND(H111&gt;0,I111&gt;0),H111/I111,"")</f>
        <v/>
      </c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41">
        <f>IF(B112="",0,IFERROR(INDEX(PLANO!$C$6:$N$40,MATCH(B112,PLANO!$B$6:$B$40,0),MATCH(PARAMETROS!$C$3,PLANO!$C$4:$N$4,0)),0))</f>
        <v/>
      </c>
      <c r="M112" s="3" t="n"/>
      <c r="N112" s="33">
        <f>IF(I112&gt;0,I112,H112)</f>
        <v/>
      </c>
      <c r="O112" s="42">
        <f>IF(K112&gt;0,J112/K112,0)</f>
        <v/>
      </c>
      <c r="P112" s="17">
        <f>IF(G112&gt;0,G112,1)</f>
        <v/>
      </c>
      <c r="Q112" s="43">
        <f>IF(AND(H112&gt;0,I112&gt;0),H112/I112,"")</f>
        <v/>
      </c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41">
        <f>IF(B113="",0,IFERROR(INDEX(PLANO!$C$6:$N$40,MATCH(B113,PLANO!$B$6:$B$40,0),MATCH(PARAMETROS!$C$3,PLANO!$C$4:$N$4,0)),0))</f>
        <v/>
      </c>
      <c r="M113" s="3" t="n"/>
      <c r="N113" s="33">
        <f>IF(I113&gt;0,I113,H113)</f>
        <v/>
      </c>
      <c r="O113" s="42">
        <f>IF(K113&gt;0,J113/K113,0)</f>
        <v/>
      </c>
      <c r="P113" s="17">
        <f>IF(G113&gt;0,G113,1)</f>
        <v/>
      </c>
      <c r="Q113" s="43">
        <f>IF(AND(H113&gt;0,I113&gt;0),H113/I113,"")</f>
        <v/>
      </c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41">
        <f>IF(B114="",0,IFERROR(INDEX(PLANO!$C$6:$N$40,MATCH(B114,PLANO!$B$6:$B$40,0),MATCH(PARAMETROS!$C$3,PLANO!$C$4:$N$4,0)),0))</f>
        <v/>
      </c>
      <c r="M114" s="3" t="n"/>
      <c r="N114" s="33">
        <f>IF(I114&gt;0,I114,H114)</f>
        <v/>
      </c>
      <c r="O114" s="42">
        <f>IF(K114&gt;0,J114/K114,0)</f>
        <v/>
      </c>
      <c r="P114" s="17">
        <f>IF(G114&gt;0,G114,1)</f>
        <v/>
      </c>
      <c r="Q114" s="43">
        <f>IF(AND(H114&gt;0,I114&gt;0),H114/I114,"")</f>
        <v/>
      </c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41">
        <f>IF(B115="",0,IFERROR(INDEX(PLANO!$C$6:$N$40,MATCH(B115,PLANO!$B$6:$B$40,0),MATCH(PARAMETROS!$C$3,PLANO!$C$4:$N$4,0)),0))</f>
        <v/>
      </c>
      <c r="M115" s="3" t="n"/>
      <c r="N115" s="33">
        <f>IF(I115&gt;0,I115,H115)</f>
        <v/>
      </c>
      <c r="O115" s="42">
        <f>IF(K115&gt;0,J115/K115,0)</f>
        <v/>
      </c>
      <c r="P115" s="17">
        <f>IF(G115&gt;0,G115,1)</f>
        <v/>
      </c>
      <c r="Q115" s="43">
        <f>IF(AND(H115&gt;0,I115&gt;0),H115/I115,"")</f>
        <v/>
      </c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41">
        <f>IF(B116="",0,IFERROR(INDEX(PLANO!$C$6:$N$40,MATCH(B116,PLANO!$B$6:$B$40,0),MATCH(PARAMETROS!$C$3,PLANO!$C$4:$N$4,0)),0))</f>
        <v/>
      </c>
      <c r="M116" s="3" t="n"/>
      <c r="N116" s="33">
        <f>IF(I116&gt;0,I116,H116)</f>
        <v/>
      </c>
      <c r="O116" s="42">
        <f>IF(K116&gt;0,J116/K116,0)</f>
        <v/>
      </c>
      <c r="P116" s="17">
        <f>IF(G116&gt;0,G116,1)</f>
        <v/>
      </c>
      <c r="Q116" s="43">
        <f>IF(AND(H116&gt;0,I116&gt;0),H116/I116,"")</f>
        <v/>
      </c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41">
        <f>IF(B117="",0,IFERROR(INDEX(PLANO!$C$6:$N$40,MATCH(B117,PLANO!$B$6:$B$40,0),MATCH(PARAMETROS!$C$3,PLANO!$C$4:$N$4,0)),0))</f>
        <v/>
      </c>
      <c r="M117" s="3" t="n"/>
      <c r="N117" s="33">
        <f>IF(I117&gt;0,I117,H117)</f>
        <v/>
      </c>
      <c r="O117" s="42">
        <f>IF(K117&gt;0,J117/K117,0)</f>
        <v/>
      </c>
      <c r="P117" s="17">
        <f>IF(G117&gt;0,G117,1)</f>
        <v/>
      </c>
      <c r="Q117" s="43">
        <f>IF(AND(H117&gt;0,I117&gt;0),H117/I117,"")</f>
        <v/>
      </c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41">
        <f>IF(B118="",0,IFERROR(INDEX(PLANO!$C$6:$N$40,MATCH(B118,PLANO!$B$6:$B$40,0),MATCH(PARAMETROS!$C$3,PLANO!$C$4:$N$4,0)),0))</f>
        <v/>
      </c>
      <c r="M118" s="3" t="n"/>
      <c r="N118" s="33">
        <f>IF(I118&gt;0,I118,H118)</f>
        <v/>
      </c>
      <c r="O118" s="42">
        <f>IF(K118&gt;0,J118/K118,0)</f>
        <v/>
      </c>
      <c r="P118" s="17">
        <f>IF(G118&gt;0,G118,1)</f>
        <v/>
      </c>
      <c r="Q118" s="43">
        <f>IF(AND(H118&gt;0,I118&gt;0),H118/I118,"")</f>
        <v/>
      </c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41">
        <f>IF(B119="",0,IFERROR(INDEX(PLANO!$C$6:$N$40,MATCH(B119,PLANO!$B$6:$B$40,0),MATCH(PARAMETROS!$C$3,PLANO!$C$4:$N$4,0)),0))</f>
        <v/>
      </c>
      <c r="M119" s="3" t="n"/>
      <c r="N119" s="33">
        <f>IF(I119&gt;0,I119,H119)</f>
        <v/>
      </c>
      <c r="O119" s="42">
        <f>IF(K119&gt;0,J119/K119,0)</f>
        <v/>
      </c>
      <c r="P119" s="17">
        <f>IF(G119&gt;0,G119,1)</f>
        <v/>
      </c>
      <c r="Q119" s="43">
        <f>IF(AND(H119&gt;0,I119&gt;0),H119/I119,"")</f>
        <v/>
      </c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41">
        <f>IF(B120="",0,IFERROR(INDEX(PLANO!$C$6:$N$40,MATCH(B120,PLANO!$B$6:$B$40,0),MATCH(PARAMETROS!$C$3,PLANO!$C$4:$N$4,0)),0))</f>
        <v/>
      </c>
      <c r="M120" s="3" t="n"/>
      <c r="N120" s="33">
        <f>IF(I120&gt;0,I120,H120)</f>
        <v/>
      </c>
      <c r="O120" s="42">
        <f>IF(K120&gt;0,J120/K120,0)</f>
        <v/>
      </c>
      <c r="P120" s="17">
        <f>IF(G120&gt;0,G120,1)</f>
        <v/>
      </c>
      <c r="Q120" s="43">
        <f>IF(AND(H120&gt;0,I120&gt;0),H120/I120,"")</f>
        <v/>
      </c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41">
        <f>IF(B121="",0,IFERROR(INDEX(PLANO!$C$6:$N$40,MATCH(B121,PLANO!$B$6:$B$40,0),MATCH(PARAMETROS!$C$3,PLANO!$C$4:$N$4,0)),0))</f>
        <v/>
      </c>
      <c r="M121" s="3" t="n"/>
      <c r="N121" s="33">
        <f>IF(I121&gt;0,I121,H121)</f>
        <v/>
      </c>
      <c r="O121" s="42">
        <f>IF(K121&gt;0,J121/K121,0)</f>
        <v/>
      </c>
      <c r="P121" s="17">
        <f>IF(G121&gt;0,G121,1)</f>
        <v/>
      </c>
      <c r="Q121" s="43">
        <f>IF(AND(H121&gt;0,I121&gt;0),H121/I121,"")</f>
        <v/>
      </c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41">
        <f>IF(B122="",0,IFERROR(INDEX(PLANO!$C$6:$N$40,MATCH(B122,PLANO!$B$6:$B$40,0),MATCH(PARAMETROS!$C$3,PLANO!$C$4:$N$4,0)),0))</f>
        <v/>
      </c>
      <c r="M122" s="3" t="n"/>
      <c r="N122" s="33">
        <f>IF(I122&gt;0,I122,H122)</f>
        <v/>
      </c>
      <c r="O122" s="42">
        <f>IF(K122&gt;0,J122/K122,0)</f>
        <v/>
      </c>
      <c r="P122" s="17">
        <f>IF(G122&gt;0,G122,1)</f>
        <v/>
      </c>
      <c r="Q122" s="43">
        <f>IF(AND(H122&gt;0,I122&gt;0),H122/I122,"")</f>
        <v/>
      </c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41">
        <f>IF(B123="",0,IFERROR(INDEX(PLANO!$C$6:$N$40,MATCH(B123,PLANO!$B$6:$B$40,0),MATCH(PARAMETROS!$C$3,PLANO!$C$4:$N$4,0)),0))</f>
        <v/>
      </c>
      <c r="M123" s="3" t="n"/>
      <c r="N123" s="33">
        <f>IF(I123&gt;0,I123,H123)</f>
        <v/>
      </c>
      <c r="O123" s="42">
        <f>IF(K123&gt;0,J123/K123,0)</f>
        <v/>
      </c>
      <c r="P123" s="17">
        <f>IF(G123&gt;0,G123,1)</f>
        <v/>
      </c>
      <c r="Q123" s="43">
        <f>IF(AND(H123&gt;0,I123&gt;0),H123/I123,"")</f>
        <v/>
      </c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41">
        <f>IF(B124="",0,IFERROR(INDEX(PLANO!$C$6:$N$40,MATCH(B124,PLANO!$B$6:$B$40,0),MATCH(PARAMETROS!$C$3,PLANO!$C$4:$N$4,0)),0))</f>
        <v/>
      </c>
      <c r="M124" s="3" t="n"/>
      <c r="N124" s="33">
        <f>IF(I124&gt;0,I124,H124)</f>
        <v/>
      </c>
      <c r="O124" s="42">
        <f>IF(K124&gt;0,J124/K124,0)</f>
        <v/>
      </c>
      <c r="P124" s="17">
        <f>IF(G124&gt;0,G124,1)</f>
        <v/>
      </c>
      <c r="Q124" s="43">
        <f>IF(AND(H124&gt;0,I124&gt;0),H124/I124,"")</f>
        <v/>
      </c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41">
        <f>IF(B125="",0,IFERROR(INDEX(PLANO!$C$6:$N$40,MATCH(B125,PLANO!$B$6:$B$40,0),MATCH(PARAMETROS!$C$3,PLANO!$C$4:$N$4,0)),0))</f>
        <v/>
      </c>
      <c r="M125" s="3" t="n"/>
      <c r="N125" s="33">
        <f>IF(I125&gt;0,I125,H125)</f>
        <v/>
      </c>
      <c r="O125" s="42">
        <f>IF(K125&gt;0,J125/K125,0)</f>
        <v/>
      </c>
      <c r="P125" s="17">
        <f>IF(G125&gt;0,G125,1)</f>
        <v/>
      </c>
      <c r="Q125" s="43">
        <f>IF(AND(H125&gt;0,I125&gt;0),H125/I125,"")</f>
        <v/>
      </c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41">
        <f>IF(B126="",0,IFERROR(INDEX(PLANO!$C$6:$N$40,MATCH(B126,PLANO!$B$6:$B$40,0),MATCH(PARAMETROS!$C$3,PLANO!$C$4:$N$4,0)),0))</f>
        <v/>
      </c>
      <c r="M126" s="3" t="n"/>
      <c r="N126" s="33">
        <f>IF(I126&gt;0,I126,H126)</f>
        <v/>
      </c>
      <c r="O126" s="42">
        <f>IF(K126&gt;0,J126/K126,0)</f>
        <v/>
      </c>
      <c r="P126" s="17">
        <f>IF(G126&gt;0,G126,1)</f>
        <v/>
      </c>
      <c r="Q126" s="43">
        <f>IF(AND(H126&gt;0,I126&gt;0),H126/I126,"")</f>
        <v/>
      </c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41">
        <f>IF(B127="",0,IFERROR(INDEX(PLANO!$C$6:$N$40,MATCH(B127,PLANO!$B$6:$B$40,0),MATCH(PARAMETROS!$C$3,PLANO!$C$4:$N$4,0)),0))</f>
        <v/>
      </c>
      <c r="M127" s="3" t="n"/>
      <c r="N127" s="33">
        <f>IF(I127&gt;0,I127,H127)</f>
        <v/>
      </c>
      <c r="O127" s="42">
        <f>IF(K127&gt;0,J127/K127,0)</f>
        <v/>
      </c>
      <c r="P127" s="17">
        <f>IF(G127&gt;0,G127,1)</f>
        <v/>
      </c>
      <c r="Q127" s="43">
        <f>IF(AND(H127&gt;0,I127&gt;0),H127/I127,"")</f>
        <v/>
      </c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41">
        <f>IF(B128="",0,IFERROR(INDEX(PLANO!$C$6:$N$40,MATCH(B128,PLANO!$B$6:$B$40,0),MATCH(PARAMETROS!$C$3,PLANO!$C$4:$N$4,0)),0))</f>
        <v/>
      </c>
      <c r="M128" s="3" t="n"/>
      <c r="N128" s="33">
        <f>IF(I128&gt;0,I128,H128)</f>
        <v/>
      </c>
      <c r="O128" s="42">
        <f>IF(K128&gt;0,J128/K128,0)</f>
        <v/>
      </c>
      <c r="P128" s="17">
        <f>IF(G128&gt;0,G128,1)</f>
        <v/>
      </c>
      <c r="Q128" s="43">
        <f>IF(AND(H128&gt;0,I128&gt;0),H128/I128,"")</f>
        <v/>
      </c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41">
        <f>IF(B129="",0,IFERROR(INDEX(PLANO!$C$6:$N$40,MATCH(B129,PLANO!$B$6:$B$40,0),MATCH(PARAMETROS!$C$3,PLANO!$C$4:$N$4,0)),0))</f>
        <v/>
      </c>
      <c r="M129" s="3" t="n"/>
      <c r="N129" s="33">
        <f>IF(I129&gt;0,I129,H129)</f>
        <v/>
      </c>
      <c r="O129" s="42">
        <f>IF(K129&gt;0,J129/K129,0)</f>
        <v/>
      </c>
      <c r="P129" s="17">
        <f>IF(G129&gt;0,G129,1)</f>
        <v/>
      </c>
      <c r="Q129" s="43">
        <f>IF(AND(H129&gt;0,I129&gt;0),H129/I129,"")</f>
        <v/>
      </c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41">
        <f>IF(B130="",0,IFERROR(INDEX(PLANO!$C$6:$N$40,MATCH(B130,PLANO!$B$6:$B$40,0),MATCH(PARAMETROS!$C$3,PLANO!$C$4:$N$4,0)),0))</f>
        <v/>
      </c>
      <c r="M130" s="3" t="n"/>
      <c r="N130" s="33">
        <f>IF(I130&gt;0,I130,H130)</f>
        <v/>
      </c>
      <c r="O130" s="42">
        <f>IF(K130&gt;0,J130/K130,0)</f>
        <v/>
      </c>
      <c r="P130" s="17">
        <f>IF(G130&gt;0,G130,1)</f>
        <v/>
      </c>
      <c r="Q130" s="43">
        <f>IF(AND(H130&gt;0,I130&gt;0),H130/I130,"")</f>
        <v/>
      </c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41">
        <f>IF(B131="",0,IFERROR(INDEX(PLANO!$C$6:$N$40,MATCH(B131,PLANO!$B$6:$B$40,0),MATCH(PARAMETROS!$C$3,PLANO!$C$4:$N$4,0)),0))</f>
        <v/>
      </c>
      <c r="M131" s="3" t="n"/>
      <c r="N131" s="33">
        <f>IF(I131&gt;0,I131,H131)</f>
        <v/>
      </c>
      <c r="O131" s="42">
        <f>IF(K131&gt;0,J131/K131,0)</f>
        <v/>
      </c>
      <c r="P131" s="17">
        <f>IF(G131&gt;0,G131,1)</f>
        <v/>
      </c>
      <c r="Q131" s="43">
        <f>IF(AND(H131&gt;0,I131&gt;0),H131/I131,"")</f>
        <v/>
      </c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41">
        <f>IF(B132="",0,IFERROR(INDEX(PLANO!$C$6:$N$40,MATCH(B132,PLANO!$B$6:$B$40,0),MATCH(PARAMETROS!$C$3,PLANO!$C$4:$N$4,0)),0))</f>
        <v/>
      </c>
      <c r="M132" s="3" t="n"/>
      <c r="N132" s="33">
        <f>IF(I132&gt;0,I132,H132)</f>
        <v/>
      </c>
      <c r="O132" s="42">
        <f>IF(K132&gt;0,J132/K132,0)</f>
        <v/>
      </c>
      <c r="P132" s="17">
        <f>IF(G132&gt;0,G132,1)</f>
        <v/>
      </c>
      <c r="Q132" s="43">
        <f>IF(AND(H132&gt;0,I132&gt;0),H132/I132,"")</f>
        <v/>
      </c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41">
        <f>IF(B133="",0,IFERROR(INDEX(PLANO!$C$6:$N$40,MATCH(B133,PLANO!$B$6:$B$40,0),MATCH(PARAMETROS!$C$3,PLANO!$C$4:$N$4,0)),0))</f>
        <v/>
      </c>
      <c r="M133" s="3" t="n"/>
      <c r="N133" s="33">
        <f>IF(I133&gt;0,I133,H133)</f>
        <v/>
      </c>
      <c r="O133" s="42">
        <f>IF(K133&gt;0,J133/K133,0)</f>
        <v/>
      </c>
      <c r="P133" s="17">
        <f>IF(G133&gt;0,G133,1)</f>
        <v/>
      </c>
      <c r="Q133" s="43">
        <f>IF(AND(H133&gt;0,I133&gt;0),H133/I133,"")</f>
        <v/>
      </c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41">
        <f>IF(B134="",0,IFERROR(INDEX(PLANO!$C$6:$N$40,MATCH(B134,PLANO!$B$6:$B$40,0),MATCH(PARAMETROS!$C$3,PLANO!$C$4:$N$4,0)),0))</f>
        <v/>
      </c>
      <c r="M134" s="3" t="n"/>
      <c r="N134" s="33">
        <f>IF(I134&gt;0,I134,H134)</f>
        <v/>
      </c>
      <c r="O134" s="42">
        <f>IF(K134&gt;0,J134/K134,0)</f>
        <v/>
      </c>
      <c r="P134" s="17">
        <f>IF(G134&gt;0,G134,1)</f>
        <v/>
      </c>
      <c r="Q134" s="43">
        <f>IF(AND(H134&gt;0,I134&gt;0),H134/I134,"")</f>
        <v/>
      </c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41">
        <f>IF(B135="",0,IFERROR(INDEX(PLANO!$C$6:$N$40,MATCH(B135,PLANO!$B$6:$B$40,0),MATCH(PARAMETROS!$C$3,PLANO!$C$4:$N$4,0)),0))</f>
        <v/>
      </c>
      <c r="M135" s="3" t="n"/>
      <c r="N135" s="33">
        <f>IF(I135&gt;0,I135,H135)</f>
        <v/>
      </c>
      <c r="O135" s="42">
        <f>IF(K135&gt;0,J135/K135,0)</f>
        <v/>
      </c>
      <c r="P135" s="17">
        <f>IF(G135&gt;0,G135,1)</f>
        <v/>
      </c>
      <c r="Q135" s="43">
        <f>IF(AND(H135&gt;0,I135&gt;0),H135/I135,"")</f>
        <v/>
      </c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41">
        <f>IF(B136="",0,IFERROR(INDEX(PLANO!$C$6:$N$40,MATCH(B136,PLANO!$B$6:$B$40,0),MATCH(PARAMETROS!$C$3,PLANO!$C$4:$N$4,0)),0))</f>
        <v/>
      </c>
      <c r="M136" s="3" t="n"/>
      <c r="N136" s="33">
        <f>IF(I136&gt;0,I136,H136)</f>
        <v/>
      </c>
      <c r="O136" s="42">
        <f>IF(K136&gt;0,J136/K136,0)</f>
        <v/>
      </c>
      <c r="P136" s="17">
        <f>IF(G136&gt;0,G136,1)</f>
        <v/>
      </c>
      <c r="Q136" s="43">
        <f>IF(AND(H136&gt;0,I136&gt;0),H136/I136,"")</f>
        <v/>
      </c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41">
        <f>IF(B137="",0,IFERROR(INDEX(PLANO!$C$6:$N$40,MATCH(B137,PLANO!$B$6:$B$40,0),MATCH(PARAMETROS!$C$3,PLANO!$C$4:$N$4,0)),0))</f>
        <v/>
      </c>
      <c r="M137" s="3" t="n"/>
      <c r="N137" s="33">
        <f>IF(I137&gt;0,I137,H137)</f>
        <v/>
      </c>
      <c r="O137" s="42">
        <f>IF(K137&gt;0,J137/K137,0)</f>
        <v/>
      </c>
      <c r="P137" s="17">
        <f>IF(G137&gt;0,G137,1)</f>
        <v/>
      </c>
      <c r="Q137" s="43">
        <f>IF(AND(H137&gt;0,I137&gt;0),H137/I137,"")</f>
        <v/>
      </c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41">
        <f>IF(B138="",0,IFERROR(INDEX(PLANO!$C$6:$N$40,MATCH(B138,PLANO!$B$6:$B$40,0),MATCH(PARAMETROS!$C$3,PLANO!$C$4:$N$4,0)),0))</f>
        <v/>
      </c>
      <c r="M138" s="3" t="n"/>
      <c r="N138" s="33">
        <f>IF(I138&gt;0,I138,H138)</f>
        <v/>
      </c>
      <c r="O138" s="42">
        <f>IF(K138&gt;0,J138/K138,0)</f>
        <v/>
      </c>
      <c r="P138" s="17">
        <f>IF(G138&gt;0,G138,1)</f>
        <v/>
      </c>
      <c r="Q138" s="43">
        <f>IF(AND(H138&gt;0,I138&gt;0),H138/I138,"")</f>
        <v/>
      </c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41">
        <f>IF(B139="",0,IFERROR(INDEX(PLANO!$C$6:$N$40,MATCH(B139,PLANO!$B$6:$B$40,0),MATCH(PARAMETROS!$C$3,PLANO!$C$4:$N$4,0)),0))</f>
        <v/>
      </c>
      <c r="M139" s="3" t="n"/>
      <c r="N139" s="33">
        <f>IF(I139&gt;0,I139,H139)</f>
        <v/>
      </c>
      <c r="O139" s="42">
        <f>IF(K139&gt;0,J139/K139,0)</f>
        <v/>
      </c>
      <c r="P139" s="17">
        <f>IF(G139&gt;0,G139,1)</f>
        <v/>
      </c>
      <c r="Q139" s="43">
        <f>IF(AND(H139&gt;0,I139&gt;0),H139/I139,"")</f>
        <v/>
      </c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41">
        <f>IF(B140="",0,IFERROR(INDEX(PLANO!$C$6:$N$40,MATCH(B140,PLANO!$B$6:$B$40,0),MATCH(PARAMETROS!$C$3,PLANO!$C$4:$N$4,0)),0))</f>
        <v/>
      </c>
      <c r="M140" s="3" t="n"/>
      <c r="N140" s="33">
        <f>IF(I140&gt;0,I140,H140)</f>
        <v/>
      </c>
      <c r="O140" s="42">
        <f>IF(K140&gt;0,J140/K140,0)</f>
        <v/>
      </c>
      <c r="P140" s="17">
        <f>IF(G140&gt;0,G140,1)</f>
        <v/>
      </c>
      <c r="Q140" s="43">
        <f>IF(AND(H140&gt;0,I140&gt;0),H140/I140,"")</f>
        <v/>
      </c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41">
        <f>IF(B141="",0,IFERROR(INDEX(PLANO!$C$6:$N$40,MATCH(B141,PLANO!$B$6:$B$40,0),MATCH(PARAMETROS!$C$3,PLANO!$C$4:$N$4,0)),0))</f>
        <v/>
      </c>
      <c r="M141" s="3" t="n"/>
      <c r="N141" s="33">
        <f>IF(I141&gt;0,I141,H141)</f>
        <v/>
      </c>
      <c r="O141" s="42">
        <f>IF(K141&gt;0,J141/K141,0)</f>
        <v/>
      </c>
      <c r="P141" s="17">
        <f>IF(G141&gt;0,G141,1)</f>
        <v/>
      </c>
      <c r="Q141" s="43">
        <f>IF(AND(H141&gt;0,I141&gt;0),H141/I141,"")</f>
        <v/>
      </c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41">
        <f>IF(B142="",0,IFERROR(INDEX(PLANO!$C$6:$N$40,MATCH(B142,PLANO!$B$6:$B$40,0),MATCH(PARAMETROS!$C$3,PLANO!$C$4:$N$4,0)),0))</f>
        <v/>
      </c>
      <c r="M142" s="3" t="n"/>
      <c r="N142" s="33">
        <f>IF(I142&gt;0,I142,H142)</f>
        <v/>
      </c>
      <c r="O142" s="42">
        <f>IF(K142&gt;0,J142/K142,0)</f>
        <v/>
      </c>
      <c r="P142" s="17">
        <f>IF(G142&gt;0,G142,1)</f>
        <v/>
      </c>
      <c r="Q142" s="43">
        <f>IF(AND(H142&gt;0,I142&gt;0),H142/I142,"")</f>
        <v/>
      </c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41">
        <f>IF(B143="",0,IFERROR(INDEX(PLANO!$C$6:$N$40,MATCH(B143,PLANO!$B$6:$B$40,0),MATCH(PARAMETROS!$C$3,PLANO!$C$4:$N$4,0)),0))</f>
        <v/>
      </c>
      <c r="M143" s="3" t="n"/>
      <c r="N143" s="33">
        <f>IF(I143&gt;0,I143,H143)</f>
        <v/>
      </c>
      <c r="O143" s="42">
        <f>IF(K143&gt;0,J143/K143,0)</f>
        <v/>
      </c>
      <c r="P143" s="17">
        <f>IF(G143&gt;0,G143,1)</f>
        <v/>
      </c>
      <c r="Q143" s="43">
        <f>IF(AND(H143&gt;0,I143&gt;0),H143/I143,"")</f>
        <v/>
      </c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41">
        <f>IF(B144="",0,IFERROR(INDEX(PLANO!$C$6:$N$40,MATCH(B144,PLANO!$B$6:$B$40,0),MATCH(PARAMETROS!$C$3,PLANO!$C$4:$N$4,0)),0))</f>
        <v/>
      </c>
      <c r="M144" s="3" t="n"/>
      <c r="N144" s="33">
        <f>IF(I144&gt;0,I144,H144)</f>
        <v/>
      </c>
      <c r="O144" s="42">
        <f>IF(K144&gt;0,J144/K144,0)</f>
        <v/>
      </c>
      <c r="P144" s="17">
        <f>IF(G144&gt;0,G144,1)</f>
        <v/>
      </c>
      <c r="Q144" s="43">
        <f>IF(AND(H144&gt;0,I144&gt;0),H144/I144,"")</f>
        <v/>
      </c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41">
        <f>IF(B145="",0,IFERROR(INDEX(PLANO!$C$6:$N$40,MATCH(B145,PLANO!$B$6:$B$40,0),MATCH(PARAMETROS!$C$3,PLANO!$C$4:$N$4,0)),0))</f>
        <v/>
      </c>
      <c r="M145" s="3" t="n"/>
      <c r="N145" s="33">
        <f>IF(I145&gt;0,I145,H145)</f>
        <v/>
      </c>
      <c r="O145" s="42">
        <f>IF(K145&gt;0,J145/K145,0)</f>
        <v/>
      </c>
      <c r="P145" s="17">
        <f>IF(G145&gt;0,G145,1)</f>
        <v/>
      </c>
      <c r="Q145" s="43">
        <f>IF(AND(H145&gt;0,I145&gt;0),H145/I145,"")</f>
        <v/>
      </c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41">
        <f>IF(B146="",0,IFERROR(INDEX(PLANO!$C$6:$N$40,MATCH(B146,PLANO!$B$6:$B$40,0),MATCH(PARAMETROS!$C$3,PLANO!$C$4:$N$4,0)),0))</f>
        <v/>
      </c>
      <c r="M146" s="3" t="n"/>
      <c r="N146" s="33">
        <f>IF(I146&gt;0,I146,H146)</f>
        <v/>
      </c>
      <c r="O146" s="42">
        <f>IF(K146&gt;0,J146/K146,0)</f>
        <v/>
      </c>
      <c r="P146" s="17">
        <f>IF(G146&gt;0,G146,1)</f>
        <v/>
      </c>
      <c r="Q146" s="43">
        <f>IF(AND(H146&gt;0,I146&gt;0),H146/I146,"")</f>
        <v/>
      </c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41">
        <f>IF(B147="",0,IFERROR(INDEX(PLANO!$C$6:$N$40,MATCH(B147,PLANO!$B$6:$B$40,0),MATCH(PARAMETROS!$C$3,PLANO!$C$4:$N$4,0)),0))</f>
        <v/>
      </c>
      <c r="M147" s="3" t="n"/>
      <c r="N147" s="33">
        <f>IF(I147&gt;0,I147,H147)</f>
        <v/>
      </c>
      <c r="O147" s="42">
        <f>IF(K147&gt;0,J147/K147,0)</f>
        <v/>
      </c>
      <c r="P147" s="17">
        <f>IF(G147&gt;0,G147,1)</f>
        <v/>
      </c>
      <c r="Q147" s="43">
        <f>IF(AND(H147&gt;0,I147&gt;0),H147/I147,"")</f>
        <v/>
      </c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41">
        <f>IF(B148="",0,IFERROR(INDEX(PLANO!$C$6:$N$40,MATCH(B148,PLANO!$B$6:$B$40,0),MATCH(PARAMETROS!$C$3,PLANO!$C$4:$N$4,0)),0))</f>
        <v/>
      </c>
      <c r="M148" s="3" t="n"/>
      <c r="N148" s="33">
        <f>IF(I148&gt;0,I148,H148)</f>
        <v/>
      </c>
      <c r="O148" s="42">
        <f>IF(K148&gt;0,J148/K148,0)</f>
        <v/>
      </c>
      <c r="P148" s="17">
        <f>IF(G148&gt;0,G148,1)</f>
        <v/>
      </c>
      <c r="Q148" s="43">
        <f>IF(AND(H148&gt;0,I148&gt;0),H148/I148,"")</f>
        <v/>
      </c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41">
        <f>IF(B149="",0,IFERROR(INDEX(PLANO!$C$6:$N$40,MATCH(B149,PLANO!$B$6:$B$40,0),MATCH(PARAMETROS!$C$3,PLANO!$C$4:$N$4,0)),0))</f>
        <v/>
      </c>
      <c r="M149" s="3" t="n"/>
      <c r="N149" s="33">
        <f>IF(I149&gt;0,I149,H149)</f>
        <v/>
      </c>
      <c r="O149" s="42">
        <f>IF(K149&gt;0,J149/K149,0)</f>
        <v/>
      </c>
      <c r="P149" s="17">
        <f>IF(G149&gt;0,G149,1)</f>
        <v/>
      </c>
      <c r="Q149" s="43">
        <f>IF(AND(H149&gt;0,I149&gt;0),H149/I149,"")</f>
        <v/>
      </c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41">
        <f>IF(B150="",0,IFERROR(INDEX(PLANO!$C$6:$N$40,MATCH(B150,PLANO!$B$6:$B$40,0),MATCH(PARAMETROS!$C$3,PLANO!$C$4:$N$4,0)),0))</f>
        <v/>
      </c>
      <c r="M150" s="3" t="n"/>
      <c r="N150" s="33">
        <f>IF(I150&gt;0,I150,H150)</f>
        <v/>
      </c>
      <c r="O150" s="42">
        <f>IF(K150&gt;0,J150/K150,0)</f>
        <v/>
      </c>
      <c r="P150" s="17">
        <f>IF(G150&gt;0,G150,1)</f>
        <v/>
      </c>
      <c r="Q150" s="43">
        <f>IF(AND(H150&gt;0,I150&gt;0),H150/I150,"")</f>
        <v/>
      </c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41">
        <f>IF(B151="",0,IFERROR(INDEX(PLANO!$C$6:$N$40,MATCH(B151,PLANO!$B$6:$B$40,0),MATCH(PARAMETROS!$C$3,PLANO!$C$4:$N$4,0)),0))</f>
        <v/>
      </c>
      <c r="M151" s="3" t="n"/>
      <c r="N151" s="33">
        <f>IF(I151&gt;0,I151,H151)</f>
        <v/>
      </c>
      <c r="O151" s="42">
        <f>IF(K151&gt;0,J151/K151,0)</f>
        <v/>
      </c>
      <c r="P151" s="17">
        <f>IF(G151&gt;0,G151,1)</f>
        <v/>
      </c>
      <c r="Q151" s="43">
        <f>IF(AND(H151&gt;0,I151&gt;0),H151/I151,"")</f>
        <v/>
      </c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41">
        <f>IF(B152="",0,IFERROR(INDEX(PLANO!$C$6:$N$40,MATCH(B152,PLANO!$B$6:$B$40,0),MATCH(PARAMETROS!$C$3,PLANO!$C$4:$N$4,0)),0))</f>
        <v/>
      </c>
      <c r="M152" s="3" t="n"/>
      <c r="N152" s="33">
        <f>IF(I152&gt;0,I152,H152)</f>
        <v/>
      </c>
      <c r="O152" s="42">
        <f>IF(K152&gt;0,J152/K152,0)</f>
        <v/>
      </c>
      <c r="P152" s="17">
        <f>IF(G152&gt;0,G152,1)</f>
        <v/>
      </c>
      <c r="Q152" s="43">
        <f>IF(AND(H152&gt;0,I152&gt;0),H152/I152,"")</f>
        <v/>
      </c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41">
        <f>IF(B153="",0,IFERROR(INDEX(PLANO!$C$6:$N$40,MATCH(B153,PLANO!$B$6:$B$40,0),MATCH(PARAMETROS!$C$3,PLANO!$C$4:$N$4,0)),0))</f>
        <v/>
      </c>
      <c r="M153" s="3" t="n"/>
      <c r="N153" s="33">
        <f>IF(I153&gt;0,I153,H153)</f>
        <v/>
      </c>
      <c r="O153" s="42">
        <f>IF(K153&gt;0,J153/K153,0)</f>
        <v/>
      </c>
      <c r="P153" s="17">
        <f>IF(G153&gt;0,G153,1)</f>
        <v/>
      </c>
      <c r="Q153" s="43">
        <f>IF(AND(H153&gt;0,I153&gt;0),H153/I153,"")</f>
        <v/>
      </c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41">
        <f>IF(B154="",0,IFERROR(INDEX(PLANO!$C$6:$N$40,MATCH(B154,PLANO!$B$6:$B$40,0),MATCH(PARAMETROS!$C$3,PLANO!$C$4:$N$4,0)),0))</f>
        <v/>
      </c>
      <c r="M154" s="3" t="n"/>
      <c r="N154" s="33">
        <f>IF(I154&gt;0,I154,H154)</f>
        <v/>
      </c>
      <c r="O154" s="42">
        <f>IF(K154&gt;0,J154/K154,0)</f>
        <v/>
      </c>
      <c r="P154" s="17">
        <f>IF(G154&gt;0,G154,1)</f>
        <v/>
      </c>
      <c r="Q154" s="43">
        <f>IF(AND(H154&gt;0,I154&gt;0),H154/I154,"")</f>
        <v/>
      </c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41">
        <f>IF(B155="",0,IFERROR(INDEX(PLANO!$C$6:$N$40,MATCH(B155,PLANO!$B$6:$B$40,0),MATCH(PARAMETROS!$C$3,PLANO!$C$4:$N$4,0)),0))</f>
        <v/>
      </c>
      <c r="M155" s="3" t="n"/>
      <c r="N155" s="33">
        <f>IF(I155&gt;0,I155,H155)</f>
        <v/>
      </c>
      <c r="O155" s="42">
        <f>IF(K155&gt;0,J155/K155,0)</f>
        <v/>
      </c>
      <c r="P155" s="17">
        <f>IF(G155&gt;0,G155,1)</f>
        <v/>
      </c>
      <c r="Q155" s="43">
        <f>IF(AND(H155&gt;0,I155&gt;0),H155/I155,"")</f>
        <v/>
      </c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41">
        <f>IF(B156="",0,IFERROR(INDEX(PLANO!$C$6:$N$40,MATCH(B156,PLANO!$B$6:$B$40,0),MATCH(PARAMETROS!$C$3,PLANO!$C$4:$N$4,0)),0))</f>
        <v/>
      </c>
      <c r="M156" s="3" t="n"/>
      <c r="N156" s="33">
        <f>IF(I156&gt;0,I156,H156)</f>
        <v/>
      </c>
      <c r="O156" s="42">
        <f>IF(K156&gt;0,J156/K156,0)</f>
        <v/>
      </c>
      <c r="P156" s="17">
        <f>IF(G156&gt;0,G156,1)</f>
        <v/>
      </c>
      <c r="Q156" s="43">
        <f>IF(AND(H156&gt;0,I156&gt;0),H156/I156,"")</f>
        <v/>
      </c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41">
        <f>IF(B157="",0,IFERROR(INDEX(PLANO!$C$6:$N$40,MATCH(B157,PLANO!$B$6:$B$40,0),MATCH(PARAMETROS!$C$3,PLANO!$C$4:$N$4,0)),0))</f>
        <v/>
      </c>
      <c r="M157" s="3" t="n"/>
      <c r="N157" s="33">
        <f>IF(I157&gt;0,I157,H157)</f>
        <v/>
      </c>
      <c r="O157" s="42">
        <f>IF(K157&gt;0,J157/K157,0)</f>
        <v/>
      </c>
      <c r="P157" s="17">
        <f>IF(G157&gt;0,G157,1)</f>
        <v/>
      </c>
      <c r="Q157" s="43">
        <f>IF(AND(H157&gt;0,I157&gt;0),H157/I157,"")</f>
        <v/>
      </c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41">
        <f>IF(B158="",0,IFERROR(INDEX(PLANO!$C$6:$N$40,MATCH(B158,PLANO!$B$6:$B$40,0),MATCH(PARAMETROS!$C$3,PLANO!$C$4:$N$4,0)),0))</f>
        <v/>
      </c>
      <c r="M158" s="3" t="n"/>
      <c r="N158" s="33">
        <f>IF(I158&gt;0,I158,H158)</f>
        <v/>
      </c>
      <c r="O158" s="42">
        <f>IF(K158&gt;0,J158/K158,0)</f>
        <v/>
      </c>
      <c r="P158" s="17">
        <f>IF(G158&gt;0,G158,1)</f>
        <v/>
      </c>
      <c r="Q158" s="43">
        <f>IF(AND(H158&gt;0,I158&gt;0),H158/I158,"")</f>
        <v/>
      </c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41">
        <f>IF(B159="",0,IFERROR(INDEX(PLANO!$C$6:$N$40,MATCH(B159,PLANO!$B$6:$B$40,0),MATCH(PARAMETROS!$C$3,PLANO!$C$4:$N$4,0)),0))</f>
        <v/>
      </c>
      <c r="M159" s="3" t="n"/>
      <c r="N159" s="33">
        <f>IF(I159&gt;0,I159,H159)</f>
        <v/>
      </c>
      <c r="O159" s="42">
        <f>IF(K159&gt;0,J159/K159,0)</f>
        <v/>
      </c>
      <c r="P159" s="17">
        <f>IF(G159&gt;0,G159,1)</f>
        <v/>
      </c>
      <c r="Q159" s="43">
        <f>IF(AND(H159&gt;0,I159&gt;0),H159/I159,"")</f>
        <v/>
      </c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41">
        <f>IF(B160="",0,IFERROR(INDEX(PLANO!$C$6:$N$40,MATCH(B160,PLANO!$B$6:$B$40,0),MATCH(PARAMETROS!$C$3,PLANO!$C$4:$N$4,0)),0))</f>
        <v/>
      </c>
      <c r="M160" s="3" t="n"/>
      <c r="N160" s="33">
        <f>IF(I160&gt;0,I160,H160)</f>
        <v/>
      </c>
      <c r="O160" s="42">
        <f>IF(K160&gt;0,J160/K160,0)</f>
        <v/>
      </c>
      <c r="P160" s="17">
        <f>IF(G160&gt;0,G160,1)</f>
        <v/>
      </c>
      <c r="Q160" s="43">
        <f>IF(AND(H160&gt;0,I160&gt;0),H160/I160,"")</f>
        <v/>
      </c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41">
        <f>IF(B161="",0,IFERROR(INDEX(PLANO!$C$6:$N$40,MATCH(B161,PLANO!$B$6:$B$40,0),MATCH(PARAMETROS!$C$3,PLANO!$C$4:$N$4,0)),0))</f>
        <v/>
      </c>
      <c r="M161" s="3" t="n"/>
      <c r="N161" s="33">
        <f>IF(I161&gt;0,I161,H161)</f>
        <v/>
      </c>
      <c r="O161" s="42">
        <f>IF(K161&gt;0,J161/K161,0)</f>
        <v/>
      </c>
      <c r="P161" s="17">
        <f>IF(G161&gt;0,G161,1)</f>
        <v/>
      </c>
      <c r="Q161" s="43">
        <f>IF(AND(H161&gt;0,I161&gt;0),H161/I161,"")</f>
        <v/>
      </c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41">
        <f>IF(B162="",0,IFERROR(INDEX(PLANO!$C$6:$N$40,MATCH(B162,PLANO!$B$6:$B$40,0),MATCH(PARAMETROS!$C$3,PLANO!$C$4:$N$4,0)),0))</f>
        <v/>
      </c>
      <c r="M162" s="3" t="n"/>
      <c r="N162" s="33">
        <f>IF(I162&gt;0,I162,H162)</f>
        <v/>
      </c>
      <c r="O162" s="42">
        <f>IF(K162&gt;0,J162/K162,0)</f>
        <v/>
      </c>
      <c r="P162" s="17">
        <f>IF(G162&gt;0,G162,1)</f>
        <v/>
      </c>
      <c r="Q162" s="43">
        <f>IF(AND(H162&gt;0,I162&gt;0),H162/I162,"")</f>
        <v/>
      </c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41">
        <f>IF(B163="",0,IFERROR(INDEX(PLANO!$C$6:$N$40,MATCH(B163,PLANO!$B$6:$B$40,0),MATCH(PARAMETROS!$C$3,PLANO!$C$4:$N$4,0)),0))</f>
        <v/>
      </c>
      <c r="M163" s="3" t="n"/>
      <c r="N163" s="33">
        <f>IF(I163&gt;0,I163,H163)</f>
        <v/>
      </c>
      <c r="O163" s="42">
        <f>IF(K163&gt;0,J163/K163,0)</f>
        <v/>
      </c>
      <c r="P163" s="17">
        <f>IF(G163&gt;0,G163,1)</f>
        <v/>
      </c>
      <c r="Q163" s="43">
        <f>IF(AND(H163&gt;0,I163&gt;0),H163/I163,"")</f>
        <v/>
      </c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41">
        <f>IF(B164="",0,IFERROR(INDEX(PLANO!$C$6:$N$40,MATCH(B164,PLANO!$B$6:$B$40,0),MATCH(PARAMETROS!$C$3,PLANO!$C$4:$N$4,0)),0))</f>
        <v/>
      </c>
      <c r="M164" s="3" t="n"/>
      <c r="N164" s="33">
        <f>IF(I164&gt;0,I164,H164)</f>
        <v/>
      </c>
      <c r="O164" s="42">
        <f>IF(K164&gt;0,J164/K164,0)</f>
        <v/>
      </c>
      <c r="P164" s="17">
        <f>IF(G164&gt;0,G164,1)</f>
        <v/>
      </c>
      <c r="Q164" s="43">
        <f>IF(AND(H164&gt;0,I164&gt;0),H164/I164,"")</f>
        <v/>
      </c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41">
        <f>IF(B165="",0,IFERROR(INDEX(PLANO!$C$6:$N$40,MATCH(B165,PLANO!$B$6:$B$40,0),MATCH(PARAMETROS!$C$3,PLANO!$C$4:$N$4,0)),0))</f>
        <v/>
      </c>
      <c r="M165" s="3" t="n"/>
      <c r="N165" s="33">
        <f>IF(I165&gt;0,I165,H165)</f>
        <v/>
      </c>
      <c r="O165" s="42">
        <f>IF(K165&gt;0,J165/K165,0)</f>
        <v/>
      </c>
      <c r="P165" s="17">
        <f>IF(G165&gt;0,G165,1)</f>
        <v/>
      </c>
      <c r="Q165" s="43">
        <f>IF(AND(H165&gt;0,I165&gt;0),H165/I165,"")</f>
        <v/>
      </c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41">
        <f>IF(B166="",0,IFERROR(INDEX(PLANO!$C$6:$N$40,MATCH(B166,PLANO!$B$6:$B$40,0),MATCH(PARAMETROS!$C$3,PLANO!$C$4:$N$4,0)),0))</f>
        <v/>
      </c>
      <c r="M166" s="3" t="n"/>
      <c r="N166" s="33">
        <f>IF(I166&gt;0,I166,H166)</f>
        <v/>
      </c>
      <c r="O166" s="42">
        <f>IF(K166&gt;0,J166/K166,0)</f>
        <v/>
      </c>
      <c r="P166" s="17">
        <f>IF(G166&gt;0,G166,1)</f>
        <v/>
      </c>
      <c r="Q166" s="43">
        <f>IF(AND(H166&gt;0,I166&gt;0),H166/I166,"")</f>
        <v/>
      </c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41">
        <f>IF(B167="",0,IFERROR(INDEX(PLANO!$C$6:$N$40,MATCH(B167,PLANO!$B$6:$B$40,0),MATCH(PARAMETROS!$C$3,PLANO!$C$4:$N$4,0)),0))</f>
        <v/>
      </c>
      <c r="M167" s="3" t="n"/>
      <c r="N167" s="33">
        <f>IF(I167&gt;0,I167,H167)</f>
        <v/>
      </c>
      <c r="O167" s="42">
        <f>IF(K167&gt;0,J167/K167,0)</f>
        <v/>
      </c>
      <c r="P167" s="17">
        <f>IF(G167&gt;0,G167,1)</f>
        <v/>
      </c>
      <c r="Q167" s="43">
        <f>IF(AND(H167&gt;0,I167&gt;0),H167/I167,"")</f>
        <v/>
      </c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41">
        <f>IF(B168="",0,IFERROR(INDEX(PLANO!$C$6:$N$40,MATCH(B168,PLANO!$B$6:$B$40,0),MATCH(PARAMETROS!$C$3,PLANO!$C$4:$N$4,0)),0))</f>
        <v/>
      </c>
      <c r="M168" s="3" t="n"/>
      <c r="N168" s="33">
        <f>IF(I168&gt;0,I168,H168)</f>
        <v/>
      </c>
      <c r="O168" s="42">
        <f>IF(K168&gt;0,J168/K168,0)</f>
        <v/>
      </c>
      <c r="P168" s="17">
        <f>IF(G168&gt;0,G168,1)</f>
        <v/>
      </c>
      <c r="Q168" s="43">
        <f>IF(AND(H168&gt;0,I168&gt;0),H168/I168,"")</f>
        <v/>
      </c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41">
        <f>IF(B169="",0,IFERROR(INDEX(PLANO!$C$6:$N$40,MATCH(B169,PLANO!$B$6:$B$40,0),MATCH(PARAMETROS!$C$3,PLANO!$C$4:$N$4,0)),0))</f>
        <v/>
      </c>
      <c r="M169" s="3" t="n"/>
      <c r="N169" s="33">
        <f>IF(I169&gt;0,I169,H169)</f>
        <v/>
      </c>
      <c r="O169" s="42">
        <f>IF(K169&gt;0,J169/K169,0)</f>
        <v/>
      </c>
      <c r="P169" s="17">
        <f>IF(G169&gt;0,G169,1)</f>
        <v/>
      </c>
      <c r="Q169" s="43">
        <f>IF(AND(H169&gt;0,I169&gt;0),H169/I169,"")</f>
        <v/>
      </c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41">
        <f>IF(B170="",0,IFERROR(INDEX(PLANO!$C$6:$N$40,MATCH(B170,PLANO!$B$6:$B$40,0),MATCH(PARAMETROS!$C$3,PLANO!$C$4:$N$4,0)),0))</f>
        <v/>
      </c>
      <c r="M170" s="3" t="n"/>
      <c r="N170" s="33">
        <f>IF(I170&gt;0,I170,H170)</f>
        <v/>
      </c>
      <c r="O170" s="42">
        <f>IF(K170&gt;0,J170/K170,0)</f>
        <v/>
      </c>
      <c r="P170" s="17">
        <f>IF(G170&gt;0,G170,1)</f>
        <v/>
      </c>
      <c r="Q170" s="43">
        <f>IF(AND(H170&gt;0,I170&gt;0),H170/I170,"")</f>
        <v/>
      </c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41">
        <f>IF(B171="",0,IFERROR(INDEX(PLANO!$C$6:$N$40,MATCH(B171,PLANO!$B$6:$B$40,0),MATCH(PARAMETROS!$C$3,PLANO!$C$4:$N$4,0)),0))</f>
        <v/>
      </c>
      <c r="M171" s="3" t="n"/>
      <c r="N171" s="33">
        <f>IF(I171&gt;0,I171,H171)</f>
        <v/>
      </c>
      <c r="O171" s="42">
        <f>IF(K171&gt;0,J171/K171,0)</f>
        <v/>
      </c>
      <c r="P171" s="17">
        <f>IF(G171&gt;0,G171,1)</f>
        <v/>
      </c>
      <c r="Q171" s="43">
        <f>IF(AND(H171&gt;0,I171&gt;0),H171/I171,"")</f>
        <v/>
      </c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41">
        <f>IF(B172="",0,IFERROR(INDEX(PLANO!$C$6:$N$40,MATCH(B172,PLANO!$B$6:$B$40,0),MATCH(PARAMETROS!$C$3,PLANO!$C$4:$N$4,0)),0))</f>
        <v/>
      </c>
      <c r="M172" s="3" t="n"/>
      <c r="N172" s="33">
        <f>IF(I172&gt;0,I172,H172)</f>
        <v/>
      </c>
      <c r="O172" s="42">
        <f>IF(K172&gt;0,J172/K172,0)</f>
        <v/>
      </c>
      <c r="P172" s="17">
        <f>IF(G172&gt;0,G172,1)</f>
        <v/>
      </c>
      <c r="Q172" s="43">
        <f>IF(AND(H172&gt;0,I172&gt;0),H172/I172,"")</f>
        <v/>
      </c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41">
        <f>IF(B173="",0,IFERROR(INDEX(PLANO!$C$6:$N$40,MATCH(B173,PLANO!$B$6:$B$40,0),MATCH(PARAMETROS!$C$3,PLANO!$C$4:$N$4,0)),0))</f>
        <v/>
      </c>
      <c r="M173" s="3" t="n"/>
      <c r="N173" s="33">
        <f>IF(I173&gt;0,I173,H173)</f>
        <v/>
      </c>
      <c r="O173" s="42">
        <f>IF(K173&gt;0,J173/K173,0)</f>
        <v/>
      </c>
      <c r="P173" s="17">
        <f>IF(G173&gt;0,G173,1)</f>
        <v/>
      </c>
      <c r="Q173" s="43">
        <f>IF(AND(H173&gt;0,I173&gt;0),H173/I173,"")</f>
        <v/>
      </c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41">
        <f>IF(B174="",0,IFERROR(INDEX(PLANO!$C$6:$N$40,MATCH(B174,PLANO!$B$6:$B$40,0),MATCH(PARAMETROS!$C$3,PLANO!$C$4:$N$4,0)),0))</f>
        <v/>
      </c>
      <c r="M174" s="3" t="n"/>
      <c r="N174" s="33">
        <f>IF(I174&gt;0,I174,H174)</f>
        <v/>
      </c>
      <c r="O174" s="42">
        <f>IF(K174&gt;0,J174/K174,0)</f>
        <v/>
      </c>
      <c r="P174" s="17">
        <f>IF(G174&gt;0,G174,1)</f>
        <v/>
      </c>
      <c r="Q174" s="43">
        <f>IF(AND(H174&gt;0,I174&gt;0),H174/I174,"")</f>
        <v/>
      </c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41">
        <f>IF(B175="",0,IFERROR(INDEX(PLANO!$C$6:$N$40,MATCH(B175,PLANO!$B$6:$B$40,0),MATCH(PARAMETROS!$C$3,PLANO!$C$4:$N$4,0)),0))</f>
        <v/>
      </c>
      <c r="M175" s="3" t="n"/>
      <c r="N175" s="33">
        <f>IF(I175&gt;0,I175,H175)</f>
        <v/>
      </c>
      <c r="O175" s="42">
        <f>IF(K175&gt;0,J175/K175,0)</f>
        <v/>
      </c>
      <c r="P175" s="17">
        <f>IF(G175&gt;0,G175,1)</f>
        <v/>
      </c>
      <c r="Q175" s="43">
        <f>IF(AND(H175&gt;0,I175&gt;0),H175/I175,"")</f>
        <v/>
      </c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41">
        <f>IF(B176="",0,IFERROR(INDEX(PLANO!$C$6:$N$40,MATCH(B176,PLANO!$B$6:$B$40,0),MATCH(PARAMETROS!$C$3,PLANO!$C$4:$N$4,0)),0))</f>
        <v/>
      </c>
      <c r="M176" s="3" t="n"/>
      <c r="N176" s="33">
        <f>IF(I176&gt;0,I176,H176)</f>
        <v/>
      </c>
      <c r="O176" s="42">
        <f>IF(K176&gt;0,J176/K176,0)</f>
        <v/>
      </c>
      <c r="P176" s="17">
        <f>IF(G176&gt;0,G176,1)</f>
        <v/>
      </c>
      <c r="Q176" s="43">
        <f>IF(AND(H176&gt;0,I176&gt;0),H176/I176,"")</f>
        <v/>
      </c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41">
        <f>IF(B177="",0,IFERROR(INDEX(PLANO!$C$6:$N$40,MATCH(B177,PLANO!$B$6:$B$40,0),MATCH(PARAMETROS!$C$3,PLANO!$C$4:$N$4,0)),0))</f>
        <v/>
      </c>
      <c r="M177" s="3" t="n"/>
      <c r="N177" s="33">
        <f>IF(I177&gt;0,I177,H177)</f>
        <v/>
      </c>
      <c r="O177" s="42">
        <f>IF(K177&gt;0,J177/K177,0)</f>
        <v/>
      </c>
      <c r="P177" s="17">
        <f>IF(G177&gt;0,G177,1)</f>
        <v/>
      </c>
      <c r="Q177" s="43">
        <f>IF(AND(H177&gt;0,I177&gt;0),H177/I177,"")</f>
        <v/>
      </c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41">
        <f>IF(B178="",0,IFERROR(INDEX(PLANO!$C$6:$N$40,MATCH(B178,PLANO!$B$6:$B$40,0),MATCH(PARAMETROS!$C$3,PLANO!$C$4:$N$4,0)),0))</f>
        <v/>
      </c>
      <c r="M178" s="3" t="n"/>
      <c r="N178" s="33">
        <f>IF(I178&gt;0,I178,H178)</f>
        <v/>
      </c>
      <c r="O178" s="42">
        <f>IF(K178&gt;0,J178/K178,0)</f>
        <v/>
      </c>
      <c r="P178" s="17">
        <f>IF(G178&gt;0,G178,1)</f>
        <v/>
      </c>
      <c r="Q178" s="43">
        <f>IF(AND(H178&gt;0,I178&gt;0),H178/I178,"")</f>
        <v/>
      </c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41">
        <f>IF(B179="",0,IFERROR(INDEX(PLANO!$C$6:$N$40,MATCH(B179,PLANO!$B$6:$B$40,0),MATCH(PARAMETROS!$C$3,PLANO!$C$4:$N$4,0)),0))</f>
        <v/>
      </c>
      <c r="M179" s="3" t="n"/>
      <c r="N179" s="33">
        <f>IF(I179&gt;0,I179,H179)</f>
        <v/>
      </c>
      <c r="O179" s="42">
        <f>IF(K179&gt;0,J179/K179,0)</f>
        <v/>
      </c>
      <c r="P179" s="17">
        <f>IF(G179&gt;0,G179,1)</f>
        <v/>
      </c>
      <c r="Q179" s="43">
        <f>IF(AND(H179&gt;0,I179&gt;0),H179/I179,"")</f>
        <v/>
      </c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41">
        <f>IF(B180="",0,IFERROR(INDEX(PLANO!$C$6:$N$40,MATCH(B180,PLANO!$B$6:$B$40,0),MATCH(PARAMETROS!$C$3,PLANO!$C$4:$N$4,0)),0))</f>
        <v/>
      </c>
      <c r="M180" s="3" t="n"/>
      <c r="N180" s="33">
        <f>IF(I180&gt;0,I180,H180)</f>
        <v/>
      </c>
      <c r="O180" s="42">
        <f>IF(K180&gt;0,J180/K180,0)</f>
        <v/>
      </c>
      <c r="P180" s="17">
        <f>IF(G180&gt;0,G180,1)</f>
        <v/>
      </c>
      <c r="Q180" s="43">
        <f>IF(AND(H180&gt;0,I180&gt;0),H180/I180,"")</f>
        <v/>
      </c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41">
        <f>IF(B181="",0,IFERROR(INDEX(PLANO!$C$6:$N$40,MATCH(B181,PLANO!$B$6:$B$40,0),MATCH(PARAMETROS!$C$3,PLANO!$C$4:$N$4,0)),0))</f>
        <v/>
      </c>
      <c r="M181" s="3" t="n"/>
      <c r="N181" s="33">
        <f>IF(I181&gt;0,I181,H181)</f>
        <v/>
      </c>
      <c r="O181" s="42">
        <f>IF(K181&gt;0,J181/K181,0)</f>
        <v/>
      </c>
      <c r="P181" s="17">
        <f>IF(G181&gt;0,G181,1)</f>
        <v/>
      </c>
      <c r="Q181" s="43">
        <f>IF(AND(H181&gt;0,I181&gt;0),H181/I181,"")</f>
        <v/>
      </c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41">
        <f>IF(B182="",0,IFERROR(INDEX(PLANO!$C$6:$N$40,MATCH(B182,PLANO!$B$6:$B$40,0),MATCH(PARAMETROS!$C$3,PLANO!$C$4:$N$4,0)),0))</f>
        <v/>
      </c>
      <c r="M182" s="3" t="n"/>
      <c r="N182" s="33">
        <f>IF(I182&gt;0,I182,H182)</f>
        <v/>
      </c>
      <c r="O182" s="42">
        <f>IF(K182&gt;0,J182/K182,0)</f>
        <v/>
      </c>
      <c r="P182" s="17">
        <f>IF(G182&gt;0,G182,1)</f>
        <v/>
      </c>
      <c r="Q182" s="43">
        <f>IF(AND(H182&gt;0,I182&gt;0),H182/I182,"")</f>
        <v/>
      </c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41">
        <f>IF(B183="",0,IFERROR(INDEX(PLANO!$C$6:$N$40,MATCH(B183,PLANO!$B$6:$B$40,0),MATCH(PARAMETROS!$C$3,PLANO!$C$4:$N$4,0)),0))</f>
        <v/>
      </c>
      <c r="M183" s="3" t="n"/>
      <c r="N183" s="33">
        <f>IF(I183&gt;0,I183,H183)</f>
        <v/>
      </c>
      <c r="O183" s="42">
        <f>IF(K183&gt;0,J183/K183,0)</f>
        <v/>
      </c>
      <c r="P183" s="17">
        <f>IF(G183&gt;0,G183,1)</f>
        <v/>
      </c>
      <c r="Q183" s="43">
        <f>IF(AND(H183&gt;0,I183&gt;0),H183/I183,"")</f>
        <v/>
      </c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41">
        <f>IF(B184="",0,IFERROR(INDEX(PLANO!$C$6:$N$40,MATCH(B184,PLANO!$B$6:$B$40,0),MATCH(PARAMETROS!$C$3,PLANO!$C$4:$N$4,0)),0))</f>
        <v/>
      </c>
      <c r="M184" s="3" t="n"/>
      <c r="N184" s="33">
        <f>IF(I184&gt;0,I184,H184)</f>
        <v/>
      </c>
      <c r="O184" s="42">
        <f>IF(K184&gt;0,J184/K184,0)</f>
        <v/>
      </c>
      <c r="P184" s="17">
        <f>IF(G184&gt;0,G184,1)</f>
        <v/>
      </c>
      <c r="Q184" s="43">
        <f>IF(AND(H184&gt;0,I184&gt;0),H184/I184,"")</f>
        <v/>
      </c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41">
        <f>IF(B185="",0,IFERROR(INDEX(PLANO!$C$6:$N$40,MATCH(B185,PLANO!$B$6:$B$40,0),MATCH(PARAMETROS!$C$3,PLANO!$C$4:$N$4,0)),0))</f>
        <v/>
      </c>
      <c r="M185" s="3" t="n"/>
      <c r="N185" s="33">
        <f>IF(I185&gt;0,I185,H185)</f>
        <v/>
      </c>
      <c r="O185" s="42">
        <f>IF(K185&gt;0,J185/K185,0)</f>
        <v/>
      </c>
      <c r="P185" s="17">
        <f>IF(G185&gt;0,G185,1)</f>
        <v/>
      </c>
      <c r="Q185" s="43">
        <f>IF(AND(H185&gt;0,I185&gt;0),H185/I185,"")</f>
        <v/>
      </c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41">
        <f>IF(B186="",0,IFERROR(INDEX(PLANO!$C$6:$N$40,MATCH(B186,PLANO!$B$6:$B$40,0),MATCH(PARAMETROS!$C$3,PLANO!$C$4:$N$4,0)),0))</f>
        <v/>
      </c>
      <c r="M186" s="3" t="n"/>
      <c r="N186" s="33">
        <f>IF(I186&gt;0,I186,H186)</f>
        <v/>
      </c>
      <c r="O186" s="42">
        <f>IF(K186&gt;0,J186/K186,0)</f>
        <v/>
      </c>
      <c r="P186" s="17">
        <f>IF(G186&gt;0,G186,1)</f>
        <v/>
      </c>
      <c r="Q186" s="43">
        <f>IF(AND(H186&gt;0,I186&gt;0),H186/I186,"")</f>
        <v/>
      </c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41">
        <f>IF(B187="",0,IFERROR(INDEX(PLANO!$C$6:$N$40,MATCH(B187,PLANO!$B$6:$B$40,0),MATCH(PARAMETROS!$C$3,PLANO!$C$4:$N$4,0)),0))</f>
        <v/>
      </c>
      <c r="M187" s="3" t="n"/>
      <c r="N187" s="33">
        <f>IF(I187&gt;0,I187,H187)</f>
        <v/>
      </c>
      <c r="O187" s="42">
        <f>IF(K187&gt;0,J187/K187,0)</f>
        <v/>
      </c>
      <c r="P187" s="17">
        <f>IF(G187&gt;0,G187,1)</f>
        <v/>
      </c>
      <c r="Q187" s="43">
        <f>IF(AND(H187&gt;0,I187&gt;0),H187/I187,"")</f>
        <v/>
      </c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41">
        <f>IF(B188="",0,IFERROR(INDEX(PLANO!$C$6:$N$40,MATCH(B188,PLANO!$B$6:$B$40,0),MATCH(PARAMETROS!$C$3,PLANO!$C$4:$N$4,0)),0))</f>
        <v/>
      </c>
      <c r="M188" s="3" t="n"/>
      <c r="N188" s="33">
        <f>IF(I188&gt;0,I188,H188)</f>
        <v/>
      </c>
      <c r="O188" s="42">
        <f>IF(K188&gt;0,J188/K188,0)</f>
        <v/>
      </c>
      <c r="P188" s="17">
        <f>IF(G188&gt;0,G188,1)</f>
        <v/>
      </c>
      <c r="Q188" s="43">
        <f>IF(AND(H188&gt;0,I188&gt;0),H188/I188,"")</f>
        <v/>
      </c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41">
        <f>IF(B189="",0,IFERROR(INDEX(PLANO!$C$6:$N$40,MATCH(B189,PLANO!$B$6:$B$40,0),MATCH(PARAMETROS!$C$3,PLANO!$C$4:$N$4,0)),0))</f>
        <v/>
      </c>
      <c r="M189" s="3" t="n"/>
      <c r="N189" s="33">
        <f>IF(I189&gt;0,I189,H189)</f>
        <v/>
      </c>
      <c r="O189" s="42">
        <f>IF(K189&gt;0,J189/K189,0)</f>
        <v/>
      </c>
      <c r="P189" s="17">
        <f>IF(G189&gt;0,G189,1)</f>
        <v/>
      </c>
      <c r="Q189" s="43">
        <f>IF(AND(H189&gt;0,I189&gt;0),H189/I189,"")</f>
        <v/>
      </c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41">
        <f>IF(B190="",0,IFERROR(INDEX(PLANO!$C$6:$N$40,MATCH(B190,PLANO!$B$6:$B$40,0),MATCH(PARAMETROS!$C$3,PLANO!$C$4:$N$4,0)),0))</f>
        <v/>
      </c>
      <c r="M190" s="3" t="n"/>
      <c r="N190" s="33">
        <f>IF(I190&gt;0,I190,H190)</f>
        <v/>
      </c>
      <c r="O190" s="42">
        <f>IF(K190&gt;0,J190/K190,0)</f>
        <v/>
      </c>
      <c r="P190" s="17">
        <f>IF(G190&gt;0,G190,1)</f>
        <v/>
      </c>
      <c r="Q190" s="43">
        <f>IF(AND(H190&gt;0,I190&gt;0),H190/I190,"")</f>
        <v/>
      </c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41">
        <f>IF(B191="",0,IFERROR(INDEX(PLANO!$C$6:$N$40,MATCH(B191,PLANO!$B$6:$B$40,0),MATCH(PARAMETROS!$C$3,PLANO!$C$4:$N$4,0)),0))</f>
        <v/>
      </c>
      <c r="M191" s="3" t="n"/>
      <c r="N191" s="33">
        <f>IF(I191&gt;0,I191,H191)</f>
        <v/>
      </c>
      <c r="O191" s="42">
        <f>IF(K191&gt;0,J191/K191,0)</f>
        <v/>
      </c>
      <c r="P191" s="17">
        <f>IF(G191&gt;0,G191,1)</f>
        <v/>
      </c>
      <c r="Q191" s="43">
        <f>IF(AND(H191&gt;0,I191&gt;0),H191/I191,"")</f>
        <v/>
      </c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41">
        <f>IF(B192="",0,IFERROR(INDEX(PLANO!$C$6:$N$40,MATCH(B192,PLANO!$B$6:$B$40,0),MATCH(PARAMETROS!$C$3,PLANO!$C$4:$N$4,0)),0))</f>
        <v/>
      </c>
      <c r="M192" s="3" t="n"/>
      <c r="N192" s="33">
        <f>IF(I192&gt;0,I192,H192)</f>
        <v/>
      </c>
      <c r="O192" s="42">
        <f>IF(K192&gt;0,J192/K192,0)</f>
        <v/>
      </c>
      <c r="P192" s="17">
        <f>IF(G192&gt;0,G192,1)</f>
        <v/>
      </c>
      <c r="Q192" s="43">
        <f>IF(AND(H192&gt;0,I192&gt;0),H192/I192,"")</f>
        <v/>
      </c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41">
        <f>IF(B193="",0,IFERROR(INDEX(PLANO!$C$6:$N$40,MATCH(B193,PLANO!$B$6:$B$40,0),MATCH(PARAMETROS!$C$3,PLANO!$C$4:$N$4,0)),0))</f>
        <v/>
      </c>
      <c r="M193" s="3" t="n"/>
      <c r="N193" s="33">
        <f>IF(I193&gt;0,I193,H193)</f>
        <v/>
      </c>
      <c r="O193" s="42">
        <f>IF(K193&gt;0,J193/K193,0)</f>
        <v/>
      </c>
      <c r="P193" s="17">
        <f>IF(G193&gt;0,G193,1)</f>
        <v/>
      </c>
      <c r="Q193" s="43">
        <f>IF(AND(H193&gt;0,I193&gt;0),H193/I193,"")</f>
        <v/>
      </c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41">
        <f>IF(B194="",0,IFERROR(INDEX(PLANO!$C$6:$N$40,MATCH(B194,PLANO!$B$6:$B$40,0),MATCH(PARAMETROS!$C$3,PLANO!$C$4:$N$4,0)),0))</f>
        <v/>
      </c>
      <c r="M194" s="3" t="n"/>
      <c r="N194" s="33">
        <f>IF(I194&gt;0,I194,H194)</f>
        <v/>
      </c>
      <c r="O194" s="42">
        <f>IF(K194&gt;0,J194/K194,0)</f>
        <v/>
      </c>
      <c r="P194" s="17">
        <f>IF(G194&gt;0,G194,1)</f>
        <v/>
      </c>
      <c r="Q194" s="43">
        <f>IF(AND(H194&gt;0,I194&gt;0),H194/I194,"")</f>
        <v/>
      </c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41">
        <f>IF(B195="",0,IFERROR(INDEX(PLANO!$C$6:$N$40,MATCH(B195,PLANO!$B$6:$B$40,0),MATCH(PARAMETROS!$C$3,PLANO!$C$4:$N$4,0)),0))</f>
        <v/>
      </c>
      <c r="M195" s="3" t="n"/>
      <c r="N195" s="33">
        <f>IF(I195&gt;0,I195,H195)</f>
        <v/>
      </c>
      <c r="O195" s="42">
        <f>IF(K195&gt;0,J195/K195,0)</f>
        <v/>
      </c>
      <c r="P195" s="17">
        <f>IF(G195&gt;0,G195,1)</f>
        <v/>
      </c>
      <c r="Q195" s="43">
        <f>IF(AND(H195&gt;0,I195&gt;0),H195/I195,"")</f>
        <v/>
      </c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41">
        <f>IF(B196="",0,IFERROR(INDEX(PLANO!$C$6:$N$40,MATCH(B196,PLANO!$B$6:$B$40,0),MATCH(PARAMETROS!$C$3,PLANO!$C$4:$N$4,0)),0))</f>
        <v/>
      </c>
      <c r="M196" s="3" t="n"/>
      <c r="N196" s="33">
        <f>IF(I196&gt;0,I196,H196)</f>
        <v/>
      </c>
      <c r="O196" s="42">
        <f>IF(K196&gt;0,J196/K196,0)</f>
        <v/>
      </c>
      <c r="P196" s="17">
        <f>IF(G196&gt;0,G196,1)</f>
        <v/>
      </c>
      <c r="Q196" s="43">
        <f>IF(AND(H196&gt;0,I196&gt;0),H196/I196,"")</f>
        <v/>
      </c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41">
        <f>IF(B197="",0,IFERROR(INDEX(PLANO!$C$6:$N$40,MATCH(B197,PLANO!$B$6:$B$40,0),MATCH(PARAMETROS!$C$3,PLANO!$C$4:$N$4,0)),0))</f>
        <v/>
      </c>
      <c r="M197" s="3" t="n"/>
      <c r="N197" s="33">
        <f>IF(I197&gt;0,I197,H197)</f>
        <v/>
      </c>
      <c r="O197" s="42">
        <f>IF(K197&gt;0,J197/K197,0)</f>
        <v/>
      </c>
      <c r="P197" s="17">
        <f>IF(G197&gt;0,G197,1)</f>
        <v/>
      </c>
      <c r="Q197" s="43">
        <f>IF(AND(H197&gt;0,I197&gt;0),H197/I197,"")</f>
        <v/>
      </c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41">
        <f>IF(B198="",0,IFERROR(INDEX(PLANO!$C$6:$N$40,MATCH(B198,PLANO!$B$6:$B$40,0),MATCH(PARAMETROS!$C$3,PLANO!$C$4:$N$4,0)),0))</f>
        <v/>
      </c>
      <c r="M198" s="3" t="n"/>
      <c r="N198" s="33">
        <f>IF(I198&gt;0,I198,H198)</f>
        <v/>
      </c>
      <c r="O198" s="42">
        <f>IF(K198&gt;0,J198/K198,0)</f>
        <v/>
      </c>
      <c r="P198" s="17">
        <f>IF(G198&gt;0,G198,1)</f>
        <v/>
      </c>
      <c r="Q198" s="43">
        <f>IF(AND(H198&gt;0,I198&gt;0),H198/I198,"")</f>
        <v/>
      </c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41">
        <f>IF(B199="",0,IFERROR(INDEX(PLANO!$C$6:$N$40,MATCH(B199,PLANO!$B$6:$B$40,0),MATCH(PARAMETROS!$C$3,PLANO!$C$4:$N$4,0)),0))</f>
        <v/>
      </c>
      <c r="M199" s="3" t="n"/>
      <c r="N199" s="33">
        <f>IF(I199&gt;0,I199,H199)</f>
        <v/>
      </c>
      <c r="O199" s="42">
        <f>IF(K199&gt;0,J199/K199,0)</f>
        <v/>
      </c>
      <c r="P199" s="17">
        <f>IF(G199&gt;0,G199,1)</f>
        <v/>
      </c>
      <c r="Q199" s="43">
        <f>IF(AND(H199&gt;0,I199&gt;0),H199/I199,"")</f>
        <v/>
      </c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41">
        <f>IF(B200="",0,IFERROR(INDEX(PLANO!$C$6:$N$40,MATCH(B200,PLANO!$B$6:$B$40,0),MATCH(PARAMETROS!$C$3,PLANO!$C$4:$N$4,0)),0))</f>
        <v/>
      </c>
      <c r="M200" s="3" t="n"/>
      <c r="N200" s="33">
        <f>IF(I200&gt;0,I200,H200)</f>
        <v/>
      </c>
      <c r="O200" s="42">
        <f>IF(K200&gt;0,J200/K200,0)</f>
        <v/>
      </c>
      <c r="P200" s="17">
        <f>IF(G200&gt;0,G200,1)</f>
        <v/>
      </c>
      <c r="Q200" s="43">
        <f>IF(AND(H200&gt;0,I200&gt;0),H200/I200,"")</f>
        <v/>
      </c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41">
        <f>IF(B201="",0,IFERROR(INDEX(PLANO!$C$6:$N$40,MATCH(B201,PLANO!$B$6:$B$40,0),MATCH(PARAMETROS!$C$3,PLANO!$C$4:$N$4,0)),0))</f>
        <v/>
      </c>
      <c r="M201" s="3" t="n"/>
      <c r="N201" s="33">
        <f>IF(I201&gt;0,I201,H201)</f>
        <v/>
      </c>
      <c r="O201" s="42">
        <f>IF(K201&gt;0,J201/K201,0)</f>
        <v/>
      </c>
      <c r="P201" s="17">
        <f>IF(G201&gt;0,G201,1)</f>
        <v/>
      </c>
      <c r="Q201" s="43">
        <f>IF(AND(H201&gt;0,I201&gt;0),H201/I201,"")</f>
        <v/>
      </c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41">
        <f>IF(B202="",0,IFERROR(INDEX(PLANO!$C$6:$N$40,MATCH(B202,PLANO!$B$6:$B$40,0),MATCH(PARAMETROS!$C$3,PLANO!$C$4:$N$4,0)),0))</f>
        <v/>
      </c>
      <c r="M202" s="3" t="n"/>
      <c r="N202" s="33">
        <f>IF(I202&gt;0,I202,H202)</f>
        <v/>
      </c>
      <c r="O202" s="42">
        <f>IF(K202&gt;0,J202/K202,0)</f>
        <v/>
      </c>
      <c r="P202" s="17">
        <f>IF(G202&gt;0,G202,1)</f>
        <v/>
      </c>
      <c r="Q202" s="43">
        <f>IF(AND(H202&gt;0,I202&gt;0),H202/I202,"")</f>
        <v/>
      </c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41">
        <f>IF(B203="",0,IFERROR(INDEX(PLANO!$C$6:$N$40,MATCH(B203,PLANO!$B$6:$B$40,0),MATCH(PARAMETROS!$C$3,PLANO!$C$4:$N$4,0)),0))</f>
        <v/>
      </c>
      <c r="M203" s="3" t="n"/>
      <c r="N203" s="33">
        <f>IF(I203&gt;0,I203,H203)</f>
        <v/>
      </c>
      <c r="O203" s="42">
        <f>IF(K203&gt;0,J203/K203,0)</f>
        <v/>
      </c>
      <c r="P203" s="17">
        <f>IF(G203&gt;0,G203,1)</f>
        <v/>
      </c>
      <c r="Q203" s="43">
        <f>IF(AND(H203&gt;0,I203&gt;0),H203/I203,"")</f>
        <v/>
      </c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41">
        <f>IF(B204="",0,IFERROR(INDEX(PLANO!$C$6:$N$40,MATCH(B204,PLANO!$B$6:$B$40,0),MATCH(PARAMETROS!$C$3,PLANO!$C$4:$N$4,0)),0))</f>
        <v/>
      </c>
      <c r="M204" s="3" t="n"/>
      <c r="N204" s="33">
        <f>IF(I204&gt;0,I204,H204)</f>
        <v/>
      </c>
      <c r="O204" s="42">
        <f>IF(K204&gt;0,J204/K204,0)</f>
        <v/>
      </c>
      <c r="P204" s="17">
        <f>IF(G204&gt;0,G204,1)</f>
        <v/>
      </c>
      <c r="Q204" s="43">
        <f>IF(AND(H204&gt;0,I204&gt;0),H204/I204,"")</f>
        <v/>
      </c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41">
        <f>IF(B205="",0,IFERROR(INDEX(PLANO!$C$6:$N$40,MATCH(B205,PLANO!$B$6:$B$40,0),MATCH(PARAMETROS!$C$3,PLANO!$C$4:$N$4,0)),0))</f>
        <v/>
      </c>
      <c r="M205" s="3" t="n"/>
      <c r="N205" s="33">
        <f>IF(I205&gt;0,I205,H205)</f>
        <v/>
      </c>
      <c r="O205" s="42">
        <f>IF(K205&gt;0,J205/K205,0)</f>
        <v/>
      </c>
      <c r="P205" s="17">
        <f>IF(G205&gt;0,G205,1)</f>
        <v/>
      </c>
      <c r="Q205" s="43">
        <f>IF(AND(H205&gt;0,I205&gt;0),H205/I205,"")</f>
        <v/>
      </c>
    </row>
  </sheetData>
  <autoFilter ref="A5:Q205"/>
  <dataValidations count="3">
    <dataValidation sqref="A6:A205" showDropDown="0" showInputMessage="0" showErrorMessage="0" allowBlank="0" type="list">
      <formula1>=PARAMETROS!$B$40:$B$43</formula1>
    </dataValidation>
    <dataValidation sqref="E6:E205" showDropDown="0" showInputMessage="0" showErrorMessage="0" allowBlank="1" type="list">
      <formula1>=MAO_OBRA!$A$6:$A$20</formula1>
    </dataValidation>
    <dataValidation sqref="F6:F205" showDropDown="0" showInputMessage="0" showErrorMessage="0" allowBlank="1" type="list">
      <formula1>=PARAMETROS!$B$32:$B$37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BF8F00"/>
    <outlinePr summaryBelow="1" summaryRight="1"/>
    <pageSetUpPr/>
  </sheetPr>
  <dimension ref="A1:G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3" customWidth="1" min="3" max="3"/>
    <col width="13" customWidth="1" min="4" max="4"/>
    <col width="13" customWidth="1" min="5" max="5"/>
    <col width="13" customWidth="1" min="6" max="6"/>
    <col width="40" customWidth="1" min="7" max="7"/>
  </cols>
  <sheetData>
    <row r="1">
      <c r="A1" s="1" t="inlineStr">
        <is>
          <t>PARÂMETROS GERAIS</t>
        </is>
      </c>
    </row>
    <row r="2">
      <c r="A2" s="4" t="inlineStr">
        <is>
          <t>Amarelo = editável (azul). Valores marcados PROVISÓRIO são premissas a confirmar com a Engenharia/PCP.</t>
        </is>
      </c>
    </row>
    <row r="3">
      <c r="B3" t="inlineStr">
        <is>
          <t>Mês do plano de produção</t>
        </is>
      </c>
      <c r="C3" s="2" t="inlineStr">
        <is>
          <t>out/26</t>
        </is>
      </c>
    </row>
    <row r="4">
      <c r="B4" t="inlineStr">
        <is>
          <t>Dias úteis no mês (vem da aba PLANO)</t>
        </is>
      </c>
      <c r="C4" s="20">
        <f>INDEX(PLANO!C5:N5,MATCH(C3,PLANO!C4:N4,0))</f>
        <v/>
      </c>
      <c r="D4" s="44" t="inlineStr">
        <is>
          <t>origem: 1.Available (arquivo Gilmar)</t>
        </is>
      </c>
    </row>
    <row r="5">
      <c r="B5" t="inlineStr">
        <is>
          <t>Dias trabalhados na semana</t>
        </is>
      </c>
      <c r="C5" s="20" t="n">
        <v>5</v>
      </c>
      <c r="D5" s="44" t="inlineStr">
        <is>
          <t>PROVISÓRIO</t>
        </is>
      </c>
    </row>
    <row r="6">
      <c r="B6" t="inlineStr">
        <is>
          <t>Limite ATENÇÃO (amarelo) — utilização ≥</t>
        </is>
      </c>
      <c r="C6" s="23" t="n">
        <v>0.85</v>
      </c>
      <c r="D6" s="44" t="inlineStr">
        <is>
          <t>configurável</t>
        </is>
      </c>
    </row>
    <row r="7">
      <c r="B7" t="inlineStr">
        <is>
          <t>Limite INSUFICIENTE (vermelho) — utilização ≥</t>
        </is>
      </c>
      <c r="C7" s="23" t="n">
        <v>1</v>
      </c>
      <c r="D7" s="44" t="inlineStr">
        <is>
          <t>configurável</t>
        </is>
      </c>
    </row>
    <row r="8">
      <c r="B8" t="inlineStr">
        <is>
          <t>Base do Sogyodo (Nominal / Efetiva)</t>
        </is>
      </c>
      <c r="C8" s="3" t="inlineStr">
        <is>
          <t>Nominal</t>
        </is>
      </c>
      <c r="D8" s="44" t="inlineStr">
        <is>
          <t>PREMISSA: Sogyodo = carga ÷ capacidade (confirmar definição da empresa)</t>
        </is>
      </c>
    </row>
    <row r="9">
      <c r="B9" t="inlineStr">
        <is>
          <t>Cenário em análise (índice)</t>
        </is>
      </c>
      <c r="C9" s="11">
        <f>MATCH(DASHBOARD!C3,C17:F17,0)</f>
        <v/>
      </c>
    </row>
    <row r="10" ht="32" customHeight="1">
      <c r="A10" s="5" t="inlineStr"/>
      <c r="B10" s="5" t="inlineStr">
        <is>
          <t>Turno</t>
        </is>
      </c>
      <c r="C10" s="5" t="inlineStr">
        <is>
          <t>Início</t>
        </is>
      </c>
      <c r="D10" s="5" t="inlineStr">
        <is>
          <t>Término</t>
        </is>
      </c>
      <c r="E10" s="5" t="inlineStr">
        <is>
          <t>Pausas (min)</t>
        </is>
      </c>
      <c r="F10" s="5" t="inlineStr">
        <is>
          <t>Horas líquidas</t>
        </is>
      </c>
    </row>
    <row r="11">
      <c r="B11" s="39" t="inlineStr">
        <is>
          <t>Turno A</t>
        </is>
      </c>
      <c r="C11" s="45" t="n">
        <v>0.3125</v>
      </c>
      <c r="D11" s="45" t="n">
        <v>0.7138888888888889</v>
      </c>
      <c r="E11" s="20" t="n">
        <v>60</v>
      </c>
      <c r="F11" s="33">
        <f>MOD(D11-C11,1)*24-E11/60</f>
        <v/>
      </c>
      <c r="G11" s="44" t="inlineStr">
        <is>
          <t>A/B: jornada ponderada seg-qui+sex do arquivo (8,63h e 7,95h líq.). C: 8h do arquivo, horário a confirmar</t>
        </is>
      </c>
    </row>
    <row r="12">
      <c r="B12" s="39" t="inlineStr">
        <is>
          <t>Turno B</t>
        </is>
      </c>
      <c r="C12" s="45" t="n">
        <v>0.8611111111111112</v>
      </c>
      <c r="D12" s="45" t="n">
        <v>0.2340277777777778</v>
      </c>
      <c r="E12" s="20" t="n">
        <v>60</v>
      </c>
      <c r="F12" s="33">
        <f>MOD(D12-C12,1)*24-E12/60</f>
        <v/>
      </c>
    </row>
    <row r="13">
      <c r="B13" s="39" t="inlineStr">
        <is>
          <t>Turno C</t>
        </is>
      </c>
      <c r="C13" s="45" t="n">
        <v>0.9166666666666666</v>
      </c>
      <c r="D13" s="45" t="n">
        <v>0.25</v>
      </c>
      <c r="E13" s="20" t="n">
        <v>0</v>
      </c>
      <c r="F13" s="33">
        <f>MOD(D13-C13,1)*24-E13/60</f>
        <v/>
      </c>
    </row>
    <row r="15">
      <c r="B15" s="19" t="inlineStr">
        <is>
          <t>CENÁRIOS (colunas C–E editáveis; F = Simulação livre, vem da aba SIMULADOR)</t>
        </is>
      </c>
    </row>
    <row r="17" ht="32" customHeight="1">
      <c r="A17" s="5" t="inlineStr"/>
      <c r="B17" s="5" t="inlineStr">
        <is>
          <t>Parâmetro</t>
        </is>
      </c>
      <c r="C17" s="5" t="inlineStr">
        <is>
          <t>Atual</t>
        </is>
      </c>
      <c r="D17" s="5" t="inlineStr">
        <is>
          <t>Ajustado</t>
        </is>
      </c>
      <c r="E17" s="5" t="inlineStr">
        <is>
          <t>Otimizado</t>
        </is>
      </c>
      <c r="F17" s="5" t="inlineStr">
        <is>
          <t>Simulação</t>
        </is>
      </c>
    </row>
    <row r="18">
      <c r="B18" t="inlineStr">
        <is>
          <t>Turno A ativo (1/0)</t>
        </is>
      </c>
      <c r="C18" s="20" t="n">
        <v>1</v>
      </c>
      <c r="D18" s="20" t="n">
        <v>1</v>
      </c>
      <c r="E18" s="20" t="n">
        <v>1</v>
      </c>
      <c r="F18" s="17">
        <f>SIMULADOR!C7</f>
        <v/>
      </c>
    </row>
    <row r="19">
      <c r="B19" t="inlineStr">
        <is>
          <t>Turno B ativo (1/0)</t>
        </is>
      </c>
      <c r="C19" s="20" t="n">
        <v>0</v>
      </c>
      <c r="D19" s="20" t="n">
        <v>1</v>
      </c>
      <c r="E19" s="20" t="n">
        <v>1</v>
      </c>
      <c r="F19" s="17">
        <f>SIMULADOR!C8</f>
        <v/>
      </c>
    </row>
    <row r="20">
      <c r="B20" t="inlineStr">
        <is>
          <t>Turno C ativo (1/0)</t>
        </is>
      </c>
      <c r="C20" s="20" t="n">
        <v>0</v>
      </c>
      <c r="D20" s="20" t="n">
        <v>0</v>
      </c>
      <c r="E20" s="20" t="n">
        <v>0</v>
      </c>
      <c r="F20" s="17">
        <f>SIMULADOR!C9</f>
        <v/>
      </c>
    </row>
    <row r="21">
      <c r="B21" t="inlineStr">
        <is>
          <t>Horas extras por turno/dia (h)</t>
        </is>
      </c>
      <c r="C21" s="22" t="n">
        <v>0</v>
      </c>
      <c r="D21" s="22" t="n">
        <v>0</v>
      </c>
      <c r="E21" s="22" t="n">
        <v>0.8</v>
      </c>
      <c r="F21" s="40">
        <f>SIMULADOR!C10</f>
        <v/>
      </c>
    </row>
    <row r="22">
      <c r="B22" t="inlineStr">
        <is>
          <t>Dias com HE no mês</t>
        </is>
      </c>
      <c r="C22" s="20" t="n">
        <v>0</v>
      </c>
      <c r="D22" s="20" t="n">
        <v>0</v>
      </c>
      <c r="E22" s="20">
        <f>C4</f>
        <v/>
      </c>
      <c r="F22" s="17">
        <f>SIMULADOR!C11</f>
        <v/>
      </c>
    </row>
    <row r="23">
      <c r="B23" t="inlineStr">
        <is>
          <t>Eficiência operacional</t>
        </is>
      </c>
      <c r="C23" s="23" t="n">
        <v>0.845969</v>
      </c>
      <c r="D23" s="23" t="n">
        <v>0.845969</v>
      </c>
      <c r="E23" s="23" t="n">
        <v>0.845969</v>
      </c>
      <c r="F23" s="43">
        <f>SIMULADOR!C12</f>
        <v/>
      </c>
      <c r="G23" s="44" t="inlineStr">
        <is>
          <t>Arquivo: eficiência=performance 84,6%, disponibilidade=frequência 95,5%. Fator tempo 0,9 = multiplicador do Load Time.</t>
        </is>
      </c>
    </row>
    <row r="24">
      <c r="B24" t="inlineStr">
        <is>
          <t>Disponibilidade</t>
        </is>
      </c>
      <c r="C24" s="23" t="n">
        <v>0.955</v>
      </c>
      <c r="D24" s="23" t="n">
        <v>0.955</v>
      </c>
      <c r="E24" s="23" t="n">
        <v>0.955</v>
      </c>
      <c r="F24" s="43">
        <f>SIMULADOR!C13</f>
        <v/>
      </c>
    </row>
    <row r="25">
      <c r="B25" t="inlineStr">
        <is>
          <t>Fator de demanda (1,20 = +20%)</t>
        </is>
      </c>
      <c r="C25" s="24" t="n">
        <v>1</v>
      </c>
      <c r="D25" s="24" t="n">
        <v>1</v>
      </c>
      <c r="E25" s="24" t="n">
        <v>1</v>
      </c>
      <c r="F25" s="33">
        <f>SIMULADOR!C14</f>
        <v/>
      </c>
    </row>
    <row r="26">
      <c r="B26" t="inlineStr">
        <is>
          <t>Fator de tempo (0,90 = -10%)</t>
        </is>
      </c>
      <c r="C26" s="24" t="n">
        <v>0.9</v>
      </c>
      <c r="D26" s="24" t="n">
        <v>0.9</v>
      </c>
      <c r="E26" s="24" t="n">
        <v>0.9</v>
      </c>
      <c r="F26" s="33">
        <f>SIMULADOR!C15</f>
        <v/>
      </c>
    </row>
    <row r="27">
      <c r="B27" t="inlineStr">
        <is>
          <t>Base de tempo (Padrão/Real)</t>
        </is>
      </c>
      <c r="C27" s="3" t="inlineStr">
        <is>
          <t>Padrão</t>
        </is>
      </c>
      <c r="D27" s="3" t="inlineStr">
        <is>
          <t>Padrão</t>
        </is>
      </c>
      <c r="E27" s="3" t="inlineStr">
        <is>
          <t>Padrão</t>
        </is>
      </c>
      <c r="F27" s="11">
        <f>SIMULADOR!C16</f>
        <v/>
      </c>
    </row>
    <row r="28">
      <c r="B28" t="inlineStr">
        <is>
          <t>Horas efetivas por funcionário/mês (calc)</t>
        </is>
      </c>
      <c r="C28" s="40">
        <f>$C$4*(C18*$F$11+C19*$F$12+C20*$F$13)*C23*C24</f>
        <v/>
      </c>
      <c r="D28" s="40">
        <f>$C$4*(D18*$F$11+D19*$F$12+D20*$F$13)*D23*D24</f>
        <v/>
      </c>
      <c r="E28" s="40">
        <f>$C$4*(E18*$F$11+E19*$F$12+E20*$F$13)*E23*E24</f>
        <v/>
      </c>
      <c r="F28" s="40">
        <f>$C$4*(F18*$F$11+F19*$F$12+F20*$F$13)*F23*F24</f>
        <v/>
      </c>
    </row>
    <row r="31" ht="32" customHeight="1">
      <c r="A31" s="5" t="inlineStr"/>
      <c r="B31" s="5" t="inlineStr">
        <is>
          <t>Máquinas de usinagem</t>
        </is>
      </c>
      <c r="C31" s="5" t="inlineStr">
        <is>
          <t>Observação</t>
        </is>
      </c>
    </row>
    <row r="32">
      <c r="B32" s="3" t="inlineStr">
        <is>
          <t>UMC01</t>
        </is>
      </c>
    </row>
    <row r="33">
      <c r="B33" s="3" t="inlineStr">
        <is>
          <t>UMC02</t>
        </is>
      </c>
    </row>
    <row r="34">
      <c r="B34" s="3" t="inlineStr">
        <is>
          <t>NCBZ</t>
        </is>
      </c>
    </row>
    <row r="35">
      <c r="B35" s="3" t="inlineStr">
        <is>
          <t>HMC-16</t>
        </is>
      </c>
    </row>
    <row r="36">
      <c r="B36" s="3" t="n"/>
    </row>
    <row r="37">
      <c r="B37" s="3" t="n"/>
    </row>
    <row r="39" ht="32" customHeight="1">
      <c r="A39" s="5" t="inlineStr"/>
      <c r="B39" s="5" t="inlineStr">
        <is>
          <t>Famílias</t>
        </is>
      </c>
      <c r="C39" s="5" t="inlineStr"/>
    </row>
    <row r="40">
      <c r="B40" s="3" t="inlineStr">
        <is>
          <t>HE/PC</t>
        </is>
      </c>
    </row>
    <row r="41">
      <c r="B41" s="3" t="inlineStr">
        <is>
          <t>WL/WA</t>
        </is>
      </c>
    </row>
    <row r="42">
      <c r="B42" s="3" t="inlineStr">
        <is>
          <t>CT</t>
        </is>
      </c>
    </row>
    <row r="43">
      <c r="B43" s="3" t="inlineStr">
        <is>
          <t>MG</t>
        </is>
      </c>
    </row>
    <row r="44">
      <c r="B44" t="inlineStr">
        <is>
          <t>Eficiência por processo = Tempo padrão ÷ Tempo real (aba TEMPOS). Setup entra na carga como min/lote ÷ lote.</t>
        </is>
      </c>
    </row>
  </sheetData>
  <dataValidations count="4">
    <dataValidation sqref="C3" showDropDown="0" showInputMessage="0" showErrorMessage="0" allowBlank="0" type="list">
      <formula1>=PLANO!$C$4:$N$4</formula1>
    </dataValidation>
    <dataValidation sqref="C8" showDropDown="0" showInputMessage="0" showErrorMessage="0" allowBlank="0" type="list">
      <formula1>"Nominal,Efetiva"</formula1>
    </dataValidation>
    <dataValidation sqref="C16 C27:E27" showDropDown="0" showInputMessage="0" showErrorMessage="0" allowBlank="0" type="list">
      <formula1>"Padrão,Real"</formula1>
    </dataValidation>
    <dataValidation sqref="C7:C9 C18:E18 C19:E19 C20:E20" showDropDown="0" showInputMessage="0" showErrorMessage="0" allowBlank="0" type="list">
      <formula1>"0,1"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DIAGNÓSTICO E LÓGICA DE CÁLCULO</t>
        </is>
      </c>
    </row>
    <row r="3">
      <c r="A3" s="10" t="inlineStr">
        <is>
          <t>STATUS DOS ARQUIVOS DE ORIGEM</t>
        </is>
      </c>
    </row>
    <row r="4">
      <c r="A4" s="46" t="inlineStr">
        <is>
          <t>Arquivo analisado</t>
        </is>
      </c>
      <c r="B4" s="47" t="inlineStr">
        <is>
          <t>capacidade_usinagem.xlsx (Gilmar): 21 abas, 9 ocultas. Carregado: plano 12 meses por modelo (3. Production Plan), dias úteis e jornada (1.Available), tempos de usinagem UMC01/UMC02/NCBZ/HMC-16 (4.Load Time).</t>
        </is>
      </c>
    </row>
    <row r="5">
      <c r="A5" s="46" t="inlineStr">
        <is>
          <t>Conferência (mês out/26)</t>
        </is>
      </c>
      <c r="B5" s="47" t="inlineStr">
        <is>
          <t>Carga calculada = original: UMC01 308,56 h, UMC02 268,86 h, NCBZ 95,07 h, HMC-16 245,12 h. Capacidade 1 turno = 146,47 h (igual). 2 turnos = 281,35 h vs 281,24 h do original (diferença 0,04%: o original usa média ponderada seg-qui/sex do 2º turno; aqui pausa fixa de 60 min).</t>
        </is>
      </c>
    </row>
    <row r="6">
      <c r="A6" s="46" t="inlineStr">
        <is>
          <t>Resultado do plano atual</t>
        </is>
      </c>
      <c r="B6" s="47" t="inlineStr">
        <is>
          <t>Com 1 turno, UMC01 (211%), UMC02 (184%) e HMC-16 (167%) não atendem; NCBZ atende (65%). Com 2 turnos, UMC01 ainda fica em 110%; UMC02 96% e HMC-16 87% ficam em atenção.</t>
        </is>
      </c>
    </row>
    <row r="7">
      <c r="A7" s="46" t="inlineStr">
        <is>
          <t>Erros no original</t>
        </is>
      </c>
      <c r="B7" s="47" t="inlineStr">
        <is>
          <t>~5.600 células com erro (#REF!, #N/A, #DIV/0!, #VALUE!), concentradas nas abas ocultas 4.Load Time (Real/Padrão) e 9.Machine Load Time. Em 4.Load Time: Workload (E9) = SUM(...,#REF!) e Sogyodo (E12) quebrados; Sogyodo real 0,98 e 0,58 digitados à mão; PITCH-TIME (HE) = #DIV/0!.</t>
        </is>
      </c>
    </row>
    <row r="8">
      <c r="A8" s="46" t="inlineStr">
        <is>
          <t>Inconsistências</t>
        </is>
      </c>
      <c r="B8" s="47" t="inlineStr">
        <is>
          <t>(1) Fator 0,9 fixo dentro das fórmulas de Time per Model (agora parâmetro 'Fator de tempo'); (2) capacidade de máquina usa frequência e performance de funcionário (95,5% × 84,6%), sem considerar PM, setup ou tyorei da aba 8.Machine Available time; (3) nomes de modelos divergem entre abas (PC200 × PC200-8 × PC200-10M0), gerando #N/A em RESPOSIÇÃO e impedindo ligar a aba 9 ao plano.</t>
        </is>
      </c>
    </row>
    <row r="9">
      <c r="A9" s="46" t="inlineStr">
        <is>
          <t>Pendências de dados</t>
        </is>
      </c>
      <c r="B9" s="47" t="inlineStr">
        <is>
          <t>(1) 377 combinações peça×modelo da aba 4.Load Time sem tempo de usinagem (peças como U-Frame, Garfo, Canhão, Mancal, Haste, Bracket, Frame): só 42 linhas têm tempo; (2) setup, lote e tempo real não constam; (3) a aba 9 (tempos por jig/serra da Caldeiraria) não foi carregada por conflito de nomes de modelo; (4) funcionários por célula (usar MAO_OBRA) — a aba CALDEIRARIA do arquivo é lista nominal e não foi copiada por conter dados pessoais.</t>
        </is>
      </c>
    </row>
    <row r="10">
      <c r="A10" s="46" t="inlineStr">
        <is>
          <t>Sogyodo</t>
        </is>
      </c>
      <c r="B10" s="47" t="inlineStr">
        <is>
          <t>Definição adotada: carga ÷ capacidade (nominal por padrão; alternar em PARAMETROS C8). Confirmar a fórmula usada pela Komatsu.</t>
        </is>
      </c>
    </row>
    <row r="11">
      <c r="A11" s="46" t="inlineStr">
        <is>
          <t>Premissas HE</t>
        </is>
      </c>
      <c r="B11" s="47" t="inlineStr">
        <is>
          <t>Cenário Otimizado usa 0,8 h/dia de HE por turno (J22 do original) — o original soma HE sem aplicar eficiência; aqui aplica.</t>
        </is>
      </c>
    </row>
    <row r="12">
      <c r="A12" s="10" t="inlineStr">
        <is>
          <t>LÓGICA IMPLEMENTADA</t>
        </is>
      </c>
    </row>
    <row r="13">
      <c r="A13" s="46" t="inlineStr">
        <is>
          <t>Horas líquidas do turno</t>
        </is>
      </c>
      <c r="B13" s="47" t="inlineStr">
        <is>
          <t>MOD(término − início, 1)×24 − pausas/60 (aceita turno C que cruza meia-noite).</t>
        </is>
      </c>
    </row>
    <row r="14">
      <c r="A14" s="46" t="inlineStr">
        <is>
          <t>Capacidade nominal (h-homem)</t>
        </is>
      </c>
      <c r="B14" s="47" t="inlineStr">
        <is>
          <t>Dias úteis × Σ(funcionários do turno × turno ativo × horas líquidas do turno).</t>
        </is>
      </c>
    </row>
    <row r="15">
      <c r="A15" s="46" t="inlineStr">
        <is>
          <t>Capacidade efetiva</t>
        </is>
      </c>
      <c r="B15" s="47" t="inlineStr">
        <is>
          <t>Nominal × eficiência × disponibilidade do cenário.</t>
        </is>
      </c>
    </row>
    <row r="16">
      <c r="A16" s="46" t="inlineStr">
        <is>
          <t>Capacidade com HE</t>
        </is>
      </c>
      <c r="B16" s="47" t="inlineStr">
        <is>
          <t>Dias com HE × horas extras por turno × funcionários ativos × eficiência × disponibilidade (informada à parte, não soma na efetiva).</t>
        </is>
      </c>
    </row>
    <row r="17">
      <c r="A17" s="46" t="inlineStr">
        <is>
          <t>Carga célula (h-homem)</t>
        </is>
      </c>
      <c r="B17" s="47" t="inlineStr">
        <is>
          <t>Fator demanda ÷ 60 × Σ[demanda × operadores × (tempo × fator tempo + setup÷lote)].</t>
        </is>
      </c>
    </row>
    <row r="18">
      <c r="A18" s="46" t="inlineStr">
        <is>
          <t>Carga máquina (h-máquina)</t>
        </is>
      </c>
      <c r="B18" s="47" t="inlineStr">
        <is>
          <t>Mesma lógica sem operadores. Horas-homem e horas-máquina nunca são somadas entre si.</t>
        </is>
      </c>
    </row>
    <row r="19">
      <c r="A19" s="46" t="inlineStr">
        <is>
          <t>Utilização / Ociosidade / Déficit</t>
        </is>
      </c>
      <c r="B19" s="47" t="inlineStr">
        <is>
          <t>Carga ÷ cap. efetiva; ociosidade = MAX(0, saldo); déficit = MAX(0, −saldo).</t>
        </is>
      </c>
    </row>
    <row r="20">
      <c r="A20" s="46" t="inlineStr">
        <is>
          <t>Func. adicionais</t>
        </is>
      </c>
      <c r="B20" s="47" t="inlineStr">
        <is>
          <t>Déficit ÷ horas efetivas por funcionário no mês (PARAMETROS linha 28).</t>
        </is>
      </c>
    </row>
    <row r="21">
      <c r="A21" s="46" t="inlineStr">
        <is>
          <t>Gargalo do fluxo</t>
        </is>
      </c>
      <c r="B21" s="47" t="inlineStr">
        <is>
          <t>Processos em sequência NÃO são somados: o limitante da peça/modelo é o recurso de maior utilização (DEMANDA_CARGA, coluna Gargalo).</t>
        </is>
      </c>
    </row>
    <row r="22">
      <c r="A22" s="46" t="inlineStr">
        <is>
          <t>Limitação conhecida</t>
        </is>
      </c>
      <c r="B22" s="47" t="inlineStr">
        <is>
          <t>Capacidade por célula assume mão de obra e carga confinadas à própria célula; a redistribuição entre células é feita editando MAO_OBRA.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INSTRUÇÕES</t>
        </is>
      </c>
    </row>
    <row r="3">
      <c r="A3" s="10" t="inlineStr">
        <is>
          <t>CÓDIGO DE CORES</t>
        </is>
      </c>
    </row>
    <row r="4">
      <c r="A4" s="46" t="inlineStr">
        <is>
          <t>Amarelo + texto azul</t>
        </is>
      </c>
      <c r="B4" s="47" t="inlineStr">
        <is>
          <t>Entrada editável.</t>
        </is>
      </c>
    </row>
    <row r="5">
      <c r="A5" s="46" t="inlineStr">
        <is>
          <t>Cinza</t>
        </is>
      </c>
      <c r="B5" s="47" t="inlineStr">
        <is>
          <t>Fórmula / dado vinculado. Não editar.</t>
        </is>
      </c>
    </row>
    <row r="6">
      <c r="A6" s="46" t="inlineStr">
        <is>
          <t>Verde</t>
        </is>
      </c>
      <c r="B6" s="47" t="inlineStr">
        <is>
          <t>Resultado calculado.</t>
        </is>
      </c>
    </row>
    <row r="7">
      <c r="A7" s="46" t="inlineStr">
        <is>
          <t>Salmão</t>
        </is>
      </c>
      <c r="B7" s="47" t="inlineStr">
        <is>
          <t>Pendência de dado.</t>
        </is>
      </c>
    </row>
    <row r="8">
      <c r="A8" s="10" t="inlineStr">
        <is>
          <t>PASSO A PASSO</t>
        </is>
      </c>
    </row>
    <row r="9">
      <c r="A9" s="46" t="inlineStr">
        <is>
          <t>1. PARAMETROS</t>
        </is>
      </c>
      <c r="B9" s="47" t="inlineStr">
        <is>
          <t>Confirmar dias úteis, turnos, pausas, eficiência, disponibilidade, limites do semáforo, lista de máquinas e famílias.</t>
        </is>
      </c>
    </row>
    <row r="10">
      <c r="A10" s="46" t="inlineStr">
        <is>
          <t>2. MAO_OBRA</t>
        </is>
      </c>
      <c r="B10" s="47" t="inlineStr">
        <is>
          <t>Cadastrar células e funcionários por turno em Atual, Ajustado e Otimizado (redistribuição = mover números entre células).</t>
        </is>
      </c>
    </row>
    <row r="11">
      <c r="A11" s="46" t="inlineStr">
        <is>
          <t>3. BASE</t>
        </is>
      </c>
      <c r="B11" s="47" t="inlineStr">
        <is>
          <t>Colar dados reais: uma linha por peça×processo. Preencher célula (caldeiraria) e/ou máquina (usinagem).</t>
        </is>
      </c>
    </row>
    <row r="12">
      <c r="A12" s="46" t="inlineStr">
        <is>
          <t>4. DASHBOARD</t>
        </is>
      </c>
      <c r="B12" s="47" t="inlineStr">
        <is>
          <t>Escolher cenário (C3) e família (C4). Tudo recalcula sozinho.</t>
        </is>
      </c>
    </row>
    <row r="13">
      <c r="A13" s="46" t="inlineStr">
        <is>
          <t>5. SIMULADOR</t>
        </is>
      </c>
      <c r="B13" s="47" t="inlineStr">
        <is>
          <t>Mudar célula, ±funcionários, turnos, HE, eficiência, fator de demanda (1,2 = +20%) e fator de tempo. Ver impacto imediato.</t>
        </is>
      </c>
    </row>
    <row r="14">
      <c r="A14" s="46" t="inlineStr">
        <is>
          <t>6. COMPARATIVO</t>
        </is>
      </c>
      <c r="B14" s="47" t="inlineStr">
        <is>
          <t>Ver os 4 cenários lado a lado.</t>
        </is>
      </c>
    </row>
    <row r="15">
      <c r="A15" s="10" t="inlineStr">
        <is>
          <t>INTERPRETAÇÃO</t>
        </is>
      </c>
    </row>
    <row r="16">
      <c r="A16" s="46" t="inlineStr">
        <is>
          <t>Verde</t>
        </is>
      </c>
      <c r="B16" s="47" t="inlineStr">
        <is>
          <t>Utilização abaixo do limite de atenção (PARAMETROS C6).</t>
        </is>
      </c>
    </row>
    <row r="17">
      <c r="A17" s="46" t="inlineStr">
        <is>
          <t>Amarelo</t>
        </is>
      </c>
      <c r="B17" s="47" t="inlineStr">
        <is>
          <t>Entre C6 e C7: próximo do limite.</t>
        </is>
      </c>
    </row>
    <row r="18">
      <c r="A18" s="46" t="inlineStr">
        <is>
          <t>Vermelho</t>
        </is>
      </c>
      <c r="B18" s="47" t="inlineStr">
        <is>
          <t>≥ C7: capacidade insuficiente.</t>
        </is>
      </c>
    </row>
    <row r="19">
      <c r="A19" s="46" t="inlineStr">
        <is>
          <t>Filtros</t>
        </is>
      </c>
      <c r="B19" s="47" t="inlineStr">
        <is>
          <t>Use as setas de filtro nas abas BASE, CAP_CELULA, TEMPOS e DEMANDA_CARGA (família, modelo, célula, máquina). Turno: cenário/colunas de MAO_OBRA.</t>
        </is>
      </c>
    </row>
    <row r="20">
      <c r="A20" s="46" t="inlineStr">
        <is>
          <t>Expansão</t>
        </is>
      </c>
      <c r="B20" s="47" t="inlineStr">
        <is>
          <t>Até 15 células, 6 máquinas e 200 linhas na BASE. Para mais, estender intervalos.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2026-10-22T20:53:58Z</dcterms:created>
  <dcterms:modified xmlns:dcterms="http://purl.org/dc/terms/" xmlns:xsi="http://www.w3.org/2001/XMLSchema-instance" xsi:type="dcterms:W3CDTF">2026-10-22T20:53:59Z</dcterms:modified>
</cp:coreProperties>
</file>